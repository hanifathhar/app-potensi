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59A14C2-C2A1-47C0-BD89-EB5F5DDEF719}" xr6:coauthVersionLast="47" xr6:coauthVersionMax="47" xr10:uidLastSave="{00000000-0000-0000-0000-000000000000}"/>
  <bookViews>
    <workbookView xWindow="-108" yWindow="-108" windowWidth="23256" windowHeight="13896" xr2:uid="{5EDE1346-B505-4083-A27F-9074D7ADC741}"/>
  </bookViews>
  <sheets>
    <sheet name="APBD" sheetId="1" r:id="rId1"/>
    <sheet name="APBN" sheetId="2" r:id="rId2"/>
    <sheet name="Bantuan Provinsi" sheetId="3" r:id="rId3"/>
  </sheets>
  <definedNames>
    <definedName name="_xlnm.Print_Area" localSheetId="0">APBD!$A$1:$AB$42</definedName>
    <definedName name="_xlnm.Print_Area" localSheetId="1">APBN!$A$1:$AB$24</definedName>
    <definedName name="_xlnm.Print_Area" localSheetId="2">'Bantuan Provinsi'!$A$1:$W$25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J23" i="3"/>
  <c r="R23" i="3" s="1"/>
  <c r="M19" i="3"/>
  <c r="O19" i="3"/>
  <c r="K15" i="3"/>
  <c r="Q8" i="3"/>
  <c r="K8" i="3"/>
  <c r="K9" i="3"/>
  <c r="Q13" i="3"/>
  <c r="Q14" i="3"/>
  <c r="Q15" i="3"/>
  <c r="Q12" i="3"/>
  <c r="Q17" i="3"/>
  <c r="V18" i="2"/>
  <c r="V16" i="2"/>
  <c r="V9" i="2"/>
  <c r="V10" i="2"/>
  <c r="V11" i="2"/>
  <c r="V12" i="2"/>
  <c r="V13" i="2"/>
  <c r="V14" i="2"/>
  <c r="V15" i="2"/>
  <c r="V8" i="2"/>
  <c r="P19" i="3"/>
  <c r="J25" i="3" s="1"/>
  <c r="L25" i="3" s="1"/>
  <c r="N19" i="3"/>
  <c r="P24" i="3" s="1"/>
  <c r="L19" i="3"/>
  <c r="J19" i="3"/>
  <c r="I19" i="3"/>
  <c r="H19" i="3"/>
  <c r="K17" i="3"/>
  <c r="Q16" i="3"/>
  <c r="K16" i="3"/>
  <c r="K14" i="3"/>
  <c r="K13" i="3"/>
  <c r="K12" i="3"/>
  <c r="Q11" i="3"/>
  <c r="K11" i="3"/>
  <c r="Q10" i="3"/>
  <c r="K10" i="3"/>
  <c r="Q9" i="3"/>
  <c r="T36" i="1"/>
  <c r="M38" i="1"/>
  <c r="K19" i="3" l="1"/>
  <c r="Q19" i="3"/>
  <c r="P22" i="3"/>
  <c r="R22" i="3"/>
  <c r="R24" i="3"/>
  <c r="P23" i="3"/>
  <c r="J23" i="2"/>
  <c r="W23" i="2" s="1"/>
  <c r="U18" i="2"/>
  <c r="J24" i="2" s="1"/>
  <c r="L24" i="2" s="1"/>
  <c r="M24" i="2" s="1"/>
  <c r="S18" i="2"/>
  <c r="R18" i="2"/>
  <c r="Q18" i="2"/>
  <c r="P18" i="2"/>
  <c r="O18" i="2"/>
  <c r="N18" i="2"/>
  <c r="J22" i="2" s="1"/>
  <c r="U22" i="2" s="1"/>
  <c r="M18" i="2"/>
  <c r="J21" i="2" s="1"/>
  <c r="L18" i="2"/>
  <c r="J18" i="2"/>
  <c r="I18" i="2"/>
  <c r="H18" i="2"/>
  <c r="K18" i="2"/>
  <c r="V16" i="1"/>
  <c r="I36" i="1"/>
  <c r="J36" i="1"/>
  <c r="L36" i="1"/>
  <c r="M36" i="1"/>
  <c r="J39" i="1" s="1"/>
  <c r="W39" i="1" s="1"/>
  <c r="N36" i="1"/>
  <c r="O36" i="1"/>
  <c r="J41" i="1" s="1"/>
  <c r="P36" i="1"/>
  <c r="Q36" i="1"/>
  <c r="R36" i="1"/>
  <c r="S36" i="1"/>
  <c r="U36" i="1"/>
  <c r="H36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8" i="1"/>
  <c r="V9" i="1"/>
  <c r="V10" i="1"/>
  <c r="V11" i="1"/>
  <c r="V12" i="1"/>
  <c r="V13" i="1"/>
  <c r="V14" i="1"/>
  <c r="V15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8" i="1"/>
  <c r="R25" i="3" l="1"/>
  <c r="P25" i="3"/>
  <c r="W21" i="2"/>
  <c r="U21" i="2"/>
  <c r="W22" i="2"/>
  <c r="U23" i="2"/>
  <c r="K36" i="1"/>
  <c r="V36" i="1"/>
  <c r="J42" i="1"/>
  <c r="U41" i="1"/>
  <c r="J40" i="1"/>
  <c r="W24" i="2" l="1"/>
  <c r="U24" i="2"/>
  <c r="M42" i="1"/>
  <c r="L42" i="1"/>
  <c r="W40" i="1"/>
  <c r="U40" i="1"/>
  <c r="W41" i="1"/>
  <c r="U39" i="1"/>
  <c r="U42" i="1" l="1"/>
  <c r="W42" i="1"/>
</calcChain>
</file>

<file path=xl/sharedStrings.xml><?xml version="1.0" encoding="utf-8"?>
<sst xmlns="http://schemas.openxmlformats.org/spreadsheetml/2006/main" count="591" uniqueCount="318">
  <si>
    <t>DAFTAR  NAMA-NAMA  PENERIMA BANTUAN BIBIT IKAN, INDUK IKAN, DAN PAKAN IKAN SUMBER DANA APBD</t>
  </si>
  <si>
    <t xml:space="preserve"> DINAS PERIKANAN DAERAH KABUPATEN TAPANULI SELATAN SAMPAI DENGAN TAHUN 2026</t>
  </si>
  <si>
    <t>NO</t>
  </si>
  <si>
    <t>KECAMATAN</t>
  </si>
  <si>
    <t>DESA / KELURAHAN</t>
  </si>
  <si>
    <t>NAMA KELOMPOK PENERIMA/ PERORANGAN</t>
  </si>
  <si>
    <t>KETUA</t>
  </si>
  <si>
    <t>JUMLAH ANGGOTA (Org)</t>
  </si>
  <si>
    <t>TAHUN PEMBENTUKAN</t>
  </si>
  <si>
    <t>JUMLAH KOLAM YANG ADA</t>
  </si>
  <si>
    <t>JUMLAH KOLAM YANG DIMANFAATKAN</t>
  </si>
  <si>
    <r>
      <t>LUAS LAHAN  (M</t>
    </r>
    <r>
      <rPr>
        <sz val="10"/>
        <color indexed="8"/>
        <rFont val="Bookman Old Style"/>
        <family val="1"/>
      </rPr>
      <t>²)/Km</t>
    </r>
  </si>
  <si>
    <t>JENIS BANTUAN</t>
  </si>
  <si>
    <t>JUMLAH TEBAR</t>
  </si>
  <si>
    <t>TITIK KOORDINAT</t>
  </si>
  <si>
    <t>TANGGAL PENEBARAN BANTUAN</t>
  </si>
  <si>
    <t>TANGGAL PEMBINAAN DAN HASIL MONEV</t>
  </si>
  <si>
    <t>KETERANGAN</t>
  </si>
  <si>
    <t>SUMBER DANA</t>
  </si>
  <si>
    <t>CETAK KOLAM</t>
  </si>
  <si>
    <t>OPTIMALISASI KOLAM</t>
  </si>
  <si>
    <t>JUMLAH KOLAM</t>
  </si>
  <si>
    <t>BENIH  IKAN MAS (Ekor)</t>
  </si>
  <si>
    <t>BENIH  IKAN NILA (Ekor)</t>
  </si>
  <si>
    <t>BENIH  IKAN LELE (Ekor)</t>
  </si>
  <si>
    <t>BENIH  IKAN GURAMI (Ekor)</t>
  </si>
  <si>
    <t>BENIH  IKAN JURUNG (Ekor)</t>
  </si>
  <si>
    <t>BENIH  IKAN BAUNG (Ekor)</t>
  </si>
  <si>
    <t>BENIH  IKAN TAWES (Ekor)</t>
  </si>
  <si>
    <t>PAKAN (Zak)</t>
  </si>
  <si>
    <t>1</t>
  </si>
  <si>
    <t>2</t>
  </si>
  <si>
    <t>3</t>
  </si>
  <si>
    <t>4</t>
  </si>
  <si>
    <t>6</t>
  </si>
  <si>
    <t>8</t>
  </si>
  <si>
    <t>9</t>
  </si>
  <si>
    <t>10</t>
  </si>
  <si>
    <t>13 = 11+12</t>
  </si>
  <si>
    <t>Angkola Timur</t>
  </si>
  <si>
    <t>Kelurahan Pasar Pargarutan</t>
  </si>
  <si>
    <t>Soruluddin Harahap</t>
  </si>
  <si>
    <t>10 Orang</t>
  </si>
  <si>
    <t>APBD</t>
  </si>
  <si>
    <t xml:space="preserve"> Angkola Timur</t>
  </si>
  <si>
    <t xml:space="preserve"> Desa Pargarutan Dolok</t>
  </si>
  <si>
    <t>Bona Tua Harahap</t>
  </si>
  <si>
    <t>15 Orang</t>
  </si>
  <si>
    <t xml:space="preserve">Desa Pall XI </t>
  </si>
  <si>
    <t>Ahmad Fauji Harahap</t>
  </si>
  <si>
    <t>KAT</t>
  </si>
  <si>
    <t xml:space="preserve">Desa Sanggapati  </t>
  </si>
  <si>
    <t>Faisal Erwin Sinaga</t>
  </si>
  <si>
    <t>Desa Situmba Julu</t>
  </si>
  <si>
    <t>Hasan, SE</t>
  </si>
  <si>
    <t>11 Orang</t>
  </si>
  <si>
    <t>Desa Panompuan</t>
  </si>
  <si>
    <t>Bahagia Tamba Tua</t>
  </si>
  <si>
    <t>12 Orang</t>
  </si>
  <si>
    <t>Desa Pargarutan Toga</t>
  </si>
  <si>
    <t>Wilson Ernando</t>
  </si>
  <si>
    <t>Lubuk Larangan</t>
  </si>
  <si>
    <t>Sipirok</t>
  </si>
  <si>
    <t>KAT/Kolam Bundar</t>
  </si>
  <si>
    <t>Desa Sialaman</t>
  </si>
  <si>
    <t>Erwin Syahpura Siregar</t>
  </si>
  <si>
    <t>19 Orang</t>
  </si>
  <si>
    <t>Desa Marsada</t>
  </si>
  <si>
    <t>Asmadi Ritonga</t>
  </si>
  <si>
    <t>Saipar Dolok Hole</t>
  </si>
  <si>
    <t>Desa Padang  Mandailing</t>
  </si>
  <si>
    <t>Khikmat Maruli Hasibuan</t>
  </si>
  <si>
    <t xml:space="preserve">Padang Mandailing </t>
  </si>
  <si>
    <t>Wandi Siregar</t>
  </si>
  <si>
    <t>Angkoa Muaratais</t>
  </si>
  <si>
    <t>Kelurahan Huta Tonga</t>
  </si>
  <si>
    <t>Rahmat Hidayat</t>
  </si>
  <si>
    <t>9 Orang</t>
  </si>
  <si>
    <t>Batang Angkola</t>
  </si>
  <si>
    <t>Desa Hurase</t>
  </si>
  <si>
    <t>Solahuddin Sihombing</t>
  </si>
  <si>
    <t>Sidadi II</t>
  </si>
  <si>
    <t>Rahmat Taher</t>
  </si>
  <si>
    <t xml:space="preserve">Batang Angkola </t>
  </si>
  <si>
    <t>Kelurahan Sigalangan</t>
  </si>
  <si>
    <t>Sayurmatinggi</t>
  </si>
  <si>
    <t>Desa Sipange Julu</t>
  </si>
  <si>
    <t>Batang Toru</t>
  </si>
  <si>
    <t>Desa Aek Gadol</t>
  </si>
  <si>
    <t>J.Giawa</t>
  </si>
  <si>
    <t>Desa Telo</t>
  </si>
  <si>
    <t>Angkola Selatan</t>
  </si>
  <si>
    <t>Desa Tandihat</t>
  </si>
  <si>
    <t>Salohot Harahap</t>
  </si>
  <si>
    <t>Marancar</t>
  </si>
  <si>
    <t>sugi</t>
  </si>
  <si>
    <t xml:space="preserve">Sugi Maju Mandiri </t>
  </si>
  <si>
    <t>Nelson saiagian</t>
  </si>
  <si>
    <t>JUMLAH</t>
  </si>
  <si>
    <t>SR 80% (kg)</t>
  </si>
  <si>
    <t>SR 70% (Kg)</t>
  </si>
  <si>
    <t>Jumlah Kolam Yang Ada</t>
  </si>
  <si>
    <t>Jumlah Benih Ikan Mas yang ditebar (Ekor)</t>
  </si>
  <si>
    <t>Estimasi Produksi Ikan Mas</t>
  </si>
  <si>
    <t xml:space="preserve">Jumlah Cetak Kolam </t>
  </si>
  <si>
    <t>Jumlah Benih Ikan Nila yang ditebar (Ekor)</t>
  </si>
  <si>
    <t>Estimasi Produksi Ikan Nila</t>
  </si>
  <si>
    <t xml:space="preserve">Jumlah Optimalisasi Kolam </t>
  </si>
  <si>
    <t>Jumlah Benih Ikan Lele yang ditebar (Ekor)</t>
  </si>
  <si>
    <t>Estimasi Produksi Ikan Lele</t>
  </si>
  <si>
    <t>Jumlah Kolam Yang Dimanfaatkan</t>
  </si>
  <si>
    <t>Jumlah Pakan Ikan (Zak)</t>
  </si>
  <si>
    <t xml:space="preserve">Ahmad Fauzi </t>
  </si>
  <si>
    <t>18 orang</t>
  </si>
  <si>
    <t>1 km</t>
  </si>
  <si>
    <t>Ahmad Afandi Pulungan</t>
  </si>
  <si>
    <t>20 orang</t>
  </si>
  <si>
    <t>16 orang</t>
  </si>
  <si>
    <t>11 orang</t>
  </si>
  <si>
    <t>Hedi Saputra Harahap</t>
  </si>
  <si>
    <t>10 orang</t>
  </si>
  <si>
    <t xml:space="preserve">Juang Pakpahan </t>
  </si>
  <si>
    <t>17 Orang</t>
  </si>
  <si>
    <t xml:space="preserve"> Angkola Barat</t>
  </si>
  <si>
    <t>Parsalakan</t>
  </si>
  <si>
    <t>Parmohonan Hasibuan</t>
  </si>
  <si>
    <t>10  Orang</t>
  </si>
  <si>
    <t>Sitinjak</t>
  </si>
  <si>
    <t>Riski Abadi Rambe</t>
  </si>
  <si>
    <t>DesaSipange godang</t>
  </si>
  <si>
    <t>Anwar Sadat</t>
  </si>
  <si>
    <t>Hotman Harahap</t>
  </si>
  <si>
    <t>Sianggunan</t>
  </si>
  <si>
    <t xml:space="preserve">M. Faisal Siregar </t>
  </si>
  <si>
    <t>9 orang</t>
  </si>
  <si>
    <t>Marancar Godang</t>
  </si>
  <si>
    <t>Nopa Khairani</t>
  </si>
  <si>
    <t>15 orang</t>
  </si>
  <si>
    <t>Senin/  10 Agustus  2026</t>
  </si>
  <si>
    <t>Selasa/ 11 Agustus  2026</t>
  </si>
  <si>
    <t>Senin/  10 Agustus  2027</t>
  </si>
  <si>
    <t>Senin/  10 Agustus  2024</t>
  </si>
  <si>
    <t>Senin/  10 Agustus  2025</t>
  </si>
  <si>
    <t>Kamis/ 23 Juli 2025</t>
  </si>
  <si>
    <t>1,2624N   99,3377E</t>
  </si>
  <si>
    <t>1,2568N     99,3651E</t>
  </si>
  <si>
    <t>1,2460N   99,3767E</t>
  </si>
  <si>
    <t>1,5060N     99,0044E</t>
  </si>
  <si>
    <t>1,3235N   99,1735E</t>
  </si>
  <si>
    <t>Kamis/ 16 Juli 2026</t>
  </si>
  <si>
    <t>1,3644N   99,1518E</t>
  </si>
  <si>
    <t>Selasa/ 21 Juli 2026</t>
  </si>
  <si>
    <t>Kolam Bundar, Perkembangan Bibit  Panjang 11-15 cm dan berat 20 gr, PH Air 6,6  Suhu 24</t>
  </si>
  <si>
    <t>Selasa/ 21 Juli 2025</t>
  </si>
  <si>
    <t>KAT, Perkembangan Bibit  Panjang 11-13 cm dan berat 18 gr, PH Air 6,4 Suhu 24,6</t>
  </si>
  <si>
    <t>Senin/ 20 juli 2026</t>
  </si>
  <si>
    <t>KAT, Perkembangan Bibit  Panjang 8-10 cm dan berat 20 gr, PH Air 7  Suhu 26,4</t>
  </si>
  <si>
    <t>KAT, Perkembangan Bibit  Panjang 11-13 cm dan berat 15- 20 gr, PH Air 7,6  Suhu 28,6</t>
  </si>
  <si>
    <t>1,2747N      99,1841E</t>
  </si>
  <si>
    <t>Senin/ 20 juli 2025</t>
  </si>
  <si>
    <t>KAT, Perkembangan Bibit  Panjang 10 cm dan berat 8-9 gr, PH Air 7,4  Suhu 28,5</t>
  </si>
  <si>
    <t>Lubuk Larangan, PH Air 7  Suhu 26,4</t>
  </si>
  <si>
    <t>KAT, Perkembangan Bibit  Panjang 13 – 15 cm, PH Air7 Suhu 28,8</t>
  </si>
  <si>
    <t xml:space="preserve">KAT, Perkembangan Bibit  Panjang 8-9 cm, PH Air 6- 7 Suhu 28,7 – 29,3 </t>
  </si>
  <si>
    <t xml:space="preserve">KAT, Perkembangan Bibit  Panjang 7 cm, PH Air 5,8 – 6,3  Suhu 30,5 – 31,3 </t>
  </si>
  <si>
    <t>Lubuk Larangan, PH Air 7 -8</t>
  </si>
  <si>
    <t>1,12'30.226N     99,22'15.859E</t>
  </si>
  <si>
    <t>KAT, Perkembangan Bibit  Panjang 13 – 15 cm, PH Air 8 Suhu 32, terjadi kematian air sampai 50% karna kenaikan ph dan perubahan cuaca</t>
  </si>
  <si>
    <t>1,18'12.669N     99,19'23.244E</t>
  </si>
  <si>
    <t>KAT, PH Air 7,3 Suhu 28,9</t>
  </si>
  <si>
    <t>1,12'48.581N     99,22'36.280E</t>
  </si>
  <si>
    <t>KAT/Kolam Bundar, Perkembangan Bibit  Panjang 13-16 cm berat 30 gr, PH Air 6- 7 Suhu 30,4</t>
  </si>
  <si>
    <t>KAT,  Perkembangan Bibit  Panjang 10-11 cm dan berat 18- 20 gr, PH Air 6,1</t>
  </si>
  <si>
    <t>KAT,  Perkembangan Bibit  Panjang 10-11 cm dan berat 30 gr, PH Air 6,6 sauhu 28,2</t>
  </si>
  <si>
    <t>KAT,  Perkembangan Bibit  Panjang 10-11 cm dan berat 18- 20 gr, PH Air 6 Suhu 28,3</t>
  </si>
  <si>
    <t>KAT, Perkembangan Bibit  Panjang 9-13 cm, PH Air 7-7,6  Suhu 25-26</t>
  </si>
  <si>
    <t>1,509617N     99,162859E</t>
  </si>
  <si>
    <t>KAT, Perkembangan Bibit  Panjang 12,5 cm, PH Air 7,32  Suhu 28,7</t>
  </si>
  <si>
    <t>1,5418799N     99,224681E</t>
  </si>
  <si>
    <t>1,409547N     99,162314E</t>
  </si>
  <si>
    <t>KAT, Perkembangan Bibit  Panjang 12 cm, PH Air 7-7,2  Suhu 29,5</t>
  </si>
  <si>
    <t>1,2813N     99,1918E</t>
  </si>
  <si>
    <t>1,4322N    99,3875E</t>
  </si>
  <si>
    <t>1,4308N     99,3881E</t>
  </si>
  <si>
    <t>Kamis/ 30 April 2026</t>
  </si>
  <si>
    <t>Kamis/ 30 April 2027</t>
  </si>
  <si>
    <t>Selasa/ 5 Mei 2026</t>
  </si>
  <si>
    <t>Selasa/ 5 Mei 2027</t>
  </si>
  <si>
    <t>Rabu/6 Mei 2026</t>
  </si>
  <si>
    <t>1,4862N     99,3555E</t>
  </si>
  <si>
    <t>1,4713N     99,3266E</t>
  </si>
  <si>
    <t>1,294N         99,1840E</t>
  </si>
  <si>
    <t>1,5015N     99,3272E</t>
  </si>
  <si>
    <t>1,3540N     99,1937E</t>
  </si>
  <si>
    <t>1,4842N     99,0621E</t>
  </si>
  <si>
    <t>Selasa/ 30 Juni 2026</t>
  </si>
  <si>
    <t>Jumat / 17 juli 2026</t>
  </si>
  <si>
    <t>1,4791N          99,1011E</t>
  </si>
  <si>
    <t>senin/ 27 juli 2026</t>
  </si>
  <si>
    <t>Rabu/22 juli 2026</t>
  </si>
  <si>
    <t>Rabu/22 juli 2027</t>
  </si>
  <si>
    <t>1,81130N   99,26198E</t>
  </si>
  <si>
    <t>1,520734N     99,199313E</t>
  </si>
  <si>
    <t>KOLAM BUNDAR (Unit)</t>
  </si>
  <si>
    <t>TANGGAL PANEN DAN JUMLAH PANEN</t>
  </si>
  <si>
    <t>Selasa / 29 September 2026 (500 kg)</t>
  </si>
  <si>
    <t xml:space="preserve">Pembinaan 1 </t>
  </si>
  <si>
    <t>Kolam Bundar yang di Panen sebagian sekitar 6 kolam total 500 Kg sehingga, masih ada yang belum di panen</t>
  </si>
  <si>
    <t>Rabu/ 14 Oktober 2026 (760 Kg)</t>
  </si>
  <si>
    <t>Telah di panen sebagian 760 kg masih ada sisa yang belum di panen</t>
  </si>
  <si>
    <t>Sayur Matinggi</t>
  </si>
  <si>
    <t>Sipange Godang</t>
  </si>
  <si>
    <t>Sitampa Simatoras</t>
  </si>
  <si>
    <t>Pintu Padang 1</t>
  </si>
  <si>
    <t>Sipagimbar</t>
  </si>
  <si>
    <t>Erwinsyah</t>
  </si>
  <si>
    <t>Nilwan Kurniawan Siregar</t>
  </si>
  <si>
    <t>Azhari/Edi Yusuf Sitompul</t>
  </si>
  <si>
    <t>H. Muhammad Husin Dalimunthe</t>
  </si>
  <si>
    <t>Alamsyah</t>
  </si>
  <si>
    <t>Henri Daulay</t>
  </si>
  <si>
    <t>Mula Siagian</t>
  </si>
  <si>
    <t>Ahmad Rifai Siregar</t>
  </si>
  <si>
    <t>Muhammad Nur (+)</t>
  </si>
  <si>
    <t>LUAS LAHAN  (Ha)</t>
  </si>
  <si>
    <t>APBN</t>
  </si>
  <si>
    <t>-</t>
  </si>
  <si>
    <t>1,2055710N   99,3765370E</t>
  </si>
  <si>
    <t>1,2582000N   99,356457E</t>
  </si>
  <si>
    <t>1,2564050N   99,3527380E</t>
  </si>
  <si>
    <t>1,2565990N   99,3580470E</t>
  </si>
  <si>
    <t>1,2566620N   99,3584640E</t>
  </si>
  <si>
    <t>1,2610740N   99,3457660E</t>
  </si>
  <si>
    <t>1,2440600N   99,3531710E</t>
  </si>
  <si>
    <t>1,8395480N   99,3739230E</t>
  </si>
  <si>
    <t>1,2587030N   99,3557680E</t>
  </si>
  <si>
    <t>Selasa/ 6 Oktober 2026</t>
  </si>
  <si>
    <t>Selasa/ 6 Oktober 2027</t>
  </si>
  <si>
    <t>Selasa/ 6 Oktober 2028</t>
  </si>
  <si>
    <t>Selasa/ 6 Oktober 2029</t>
  </si>
  <si>
    <t>Selasa/ 6 Oktober 2030</t>
  </si>
  <si>
    <t>Selasa/ 6 Oktober 2031</t>
  </si>
  <si>
    <t>Selasa/ 6 Oktober 2032</t>
  </si>
  <si>
    <t>Selasa/ 6 Oktober 2033</t>
  </si>
  <si>
    <t>Selasa/ 6 Oktober 2034</t>
  </si>
  <si>
    <t xml:space="preserve">Pokdakan " Mina Gerhanas Sipange " </t>
  </si>
  <si>
    <t>Pokdakan " Clarias Sipange Godang "</t>
  </si>
  <si>
    <t xml:space="preserve">Pokdakan " Kolam Indah Sigambir " </t>
  </si>
  <si>
    <t>Pokdakan "  Natama Sipange Godang "</t>
  </si>
  <si>
    <t>Pokdakan " Siala Sampagu "</t>
  </si>
  <si>
    <t>Desa Sibulele Muara</t>
  </si>
  <si>
    <t>Pokdakan " Mitra Halu Sibulele "</t>
  </si>
  <si>
    <t>Desa Janjimanaon</t>
  </si>
  <si>
    <t>Pokdakan "Manaon Muda Madani "</t>
  </si>
  <si>
    <t>Pokdakan "  Simbur magondang Sidadi "</t>
  </si>
  <si>
    <t>Desa Sidadi II</t>
  </si>
  <si>
    <t>Desa Aek Gunung</t>
  </si>
  <si>
    <t>Pokdakan " Mual Lele Aek Gunung"</t>
  </si>
  <si>
    <t>Desa Sitampa Simatoras</t>
  </si>
  <si>
    <t>Pokdakan " Mina Sitampa Jaya "</t>
  </si>
  <si>
    <t>Anwar Sahputra</t>
  </si>
  <si>
    <t>INDUK IKAN LELE (Ekor)</t>
  </si>
  <si>
    <t>Mesin Pakan (Unit)</t>
  </si>
  <si>
    <t>PAKAN (Kg)</t>
  </si>
  <si>
    <t>Rahman Tahir</t>
  </si>
  <si>
    <t>Budi Abdullah Umar Lubis</t>
  </si>
  <si>
    <t>Riswan Nst</t>
  </si>
  <si>
    <t>Sahbana</t>
  </si>
  <si>
    <t>Maksum Hutasuhut</t>
  </si>
  <si>
    <t>Maralaut</t>
  </si>
  <si>
    <t>Anwar sadat</t>
  </si>
  <si>
    <t>Manaro Siregar</t>
  </si>
  <si>
    <t>Kamis/ 21 Mei 2026</t>
  </si>
  <si>
    <t>Kamis/ 21 Mei 2027</t>
  </si>
  <si>
    <t>Kamis/ 21 Mei 2028</t>
  </si>
  <si>
    <t>Kamis/ 21 Mei 2029</t>
  </si>
  <si>
    <t>Kamis/ 21 Mei 2030</t>
  </si>
  <si>
    <t>Kamis/ 21 Mei 2031</t>
  </si>
  <si>
    <t>Kamis/ 21 Mei 2032</t>
  </si>
  <si>
    <t>Kamis/ 21 Mei 2033</t>
  </si>
  <si>
    <t>Kamis/ 21 Mei 2034</t>
  </si>
  <si>
    <t>Kamis/ 21 Mei 2035</t>
  </si>
  <si>
    <t>APBD Provinsi</t>
  </si>
  <si>
    <t>Abdul Basir</t>
  </si>
  <si>
    <t>1.220184N   99.38012E</t>
  </si>
  <si>
    <t>1.256189N    99.337081E</t>
  </si>
  <si>
    <t>1.219776N     99.380451E</t>
  </si>
  <si>
    <t>1,25660N 99,357820E</t>
  </si>
  <si>
    <t>1,258622N   99,35573E</t>
  </si>
  <si>
    <t>1.205551N  99.376811E</t>
  </si>
  <si>
    <t>Jumlah Benih Ikan  yang ditebar (Ekor)</t>
  </si>
  <si>
    <t>Jumlah induk Ikan  yang ditebar (Ekor)</t>
  </si>
  <si>
    <t xml:space="preserve">Pokdakan  Mar Roha </t>
  </si>
  <si>
    <t>Pokdakan AEK SIBORU NAMORA</t>
  </si>
  <si>
    <t xml:space="preserve">Pokdakan  Rim Ni Tahi </t>
  </si>
  <si>
    <t xml:space="preserve">Pokdakan  Maju Jaya  </t>
  </si>
  <si>
    <t xml:space="preserve">Pokdakan  Sarasi Indah Garongang </t>
  </si>
  <si>
    <t xml:space="preserve">Pokdakan  Tobat Sitapongan  </t>
  </si>
  <si>
    <t xml:space="preserve">Pokmaswas   HARSING PARGARUTAN TONGA </t>
  </si>
  <si>
    <t xml:space="preserve">Pokmaswas  Panompuan Bersama </t>
  </si>
  <si>
    <t xml:space="preserve">Pokdakan  Panindoan  </t>
  </si>
  <si>
    <t xml:space="preserve">Pokdakan Dolok Marombun </t>
  </si>
  <si>
    <t xml:space="preserve">Pokdakan  Marsada Nila Lestari </t>
  </si>
  <si>
    <t>Pokdakan Lobu Poring Mandasor</t>
  </si>
  <si>
    <t xml:space="preserve">Pokdakan  Padang Mandailing Marsada Garugur </t>
  </si>
  <si>
    <t xml:space="preserve">Pokdakan  Lopo Padang </t>
  </si>
  <si>
    <t xml:space="preserve">Pokdakan  Tobat Bidang Nauli </t>
  </si>
  <si>
    <t xml:space="preserve">Pokdakan Simbur Magodang Sidadi </t>
  </si>
  <si>
    <t xml:space="preserve">Pokmaswas  Sahabat Bagusi </t>
  </si>
  <si>
    <t xml:space="preserve">Pokmaswas  Sahata Saoloan </t>
  </si>
  <si>
    <t xml:space="preserve">Pokdakan  Natama Sipange Godang </t>
  </si>
  <si>
    <t xml:space="preserve">Pokmaswas  Satahi II   </t>
  </si>
  <si>
    <t>Pokdakan Bunga Kamboja</t>
  </si>
  <si>
    <t xml:space="preserve">Pokdakan  Wal Asri </t>
  </si>
  <si>
    <t xml:space="preserve">Pokdakan   TANDIHAT BANGKIT </t>
  </si>
  <si>
    <t>Pokdakan  Mandiri  Sejahtera</t>
  </si>
  <si>
    <t xml:space="preserve">Pokdakan   Pagar Nihuta </t>
  </si>
  <si>
    <t xml:space="preserve">Pokdakan   Pancasila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</si>
</sst>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_);_(* \(#,##0\);_(* &quot;-&quot;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Bookman Old Style"/>
      <family val="1"/>
    </font>
    <font>
      <sz val="11"/>
      <color theme="1"/>
      <name val="Bookman Old Style"/>
      <family val="1"/>
    </font>
    <font>
      <sz val="8"/>
      <color theme="1"/>
      <name val="Bookman Old Style"/>
      <family val="1"/>
    </font>
    <font>
      <sz val="10"/>
      <color theme="1"/>
      <name val="Bookman Old Style"/>
      <family val="1"/>
    </font>
    <font>
      <sz val="9"/>
      <color theme="1"/>
      <name val="Bookman Old Style"/>
      <family val="1"/>
    </font>
    <font>
      <sz val="10"/>
      <color indexed="8"/>
      <name val="Bookman Old Style"/>
      <family val="1"/>
    </font>
    <font>
      <sz val="9.5"/>
      <color theme="1"/>
      <name val="Bookman Old Style"/>
      <family val="1"/>
    </font>
    <font>
      <sz val="10"/>
      <name val="Bookman Old Style"/>
      <family val="1"/>
    </font>
    <font>
      <b/>
      <sz val="11"/>
      <color theme="1"/>
      <name val="Bookman Old Style"/>
      <family val="1"/>
    </font>
    <font>
      <sz val="11"/>
      <color theme="0"/>
      <name val="Bookman Old Style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Bookman Old Style"/>
      <family val="1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3" borderId="1" xfId="0" quotePrefix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2" borderId="1" xfId="0" quotePrefix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0" fillId="4" borderId="1" xfId="0" applyFill="1" applyBorder="1" applyAlignment="1">
      <alignment horizontal="left" vertical="top" wrapText="1"/>
    </xf>
    <xf numFmtId="0" fontId="9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5" fillId="2" borderId="1" xfId="0" applyFont="1" applyFill="1" applyBorder="1" applyAlignment="1">
      <alignment horizontal="right" vertical="top"/>
    </xf>
    <xf numFmtId="3" fontId="5" fillId="0" borderId="1" xfId="0" applyNumberFormat="1" applyFont="1" applyBorder="1" applyAlignment="1">
      <alignment horizontal="right" vertical="top"/>
    </xf>
    <xf numFmtId="0" fontId="5" fillId="0" borderId="1" xfId="0" quotePrefix="1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5" fillId="0" borderId="1" xfId="0" quotePrefix="1" applyFont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right" vertical="top"/>
    </xf>
    <xf numFmtId="3" fontId="5" fillId="5" borderId="1" xfId="0" applyNumberFormat="1" applyFont="1" applyFill="1" applyBorder="1" applyAlignment="1">
      <alignment horizontal="right" vertical="top"/>
    </xf>
    <xf numFmtId="0" fontId="5" fillId="5" borderId="1" xfId="0" quotePrefix="1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0" xfId="0" applyFont="1" applyFill="1" applyAlignment="1">
      <alignment horizontal="center" vertical="top"/>
    </xf>
    <xf numFmtId="0" fontId="0" fillId="5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right" vertical="top"/>
    </xf>
    <xf numFmtId="3" fontId="5" fillId="6" borderId="1" xfId="0" applyNumberFormat="1" applyFont="1" applyFill="1" applyBorder="1" applyAlignment="1">
      <alignment horizontal="right" vertical="top"/>
    </xf>
    <xf numFmtId="0" fontId="5" fillId="6" borderId="1" xfId="0" quotePrefix="1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41" fontId="10" fillId="0" borderId="1" xfId="1" applyFont="1" applyBorder="1" applyAlignment="1">
      <alignment horizontal="right" vertical="center"/>
    </xf>
    <xf numFmtId="0" fontId="3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41" fontId="12" fillId="0" borderId="0" xfId="1" applyFont="1"/>
    <xf numFmtId="41" fontId="12" fillId="0" borderId="0" xfId="1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41" fontId="13" fillId="0" borderId="0" xfId="1" applyFont="1" applyAlignment="1">
      <alignment horizontal="center"/>
    </xf>
    <xf numFmtId="164" fontId="13" fillId="0" borderId="0" xfId="0" applyNumberFormat="1" applyFont="1"/>
    <xf numFmtId="0" fontId="14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1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0" borderId="1" xfId="0" applyBorder="1" applyAlignment="1">
      <alignment horizontal="left" vertical="top" wrapText="1"/>
    </xf>
    <xf numFmtId="0" fontId="5" fillId="7" borderId="0" xfId="0" applyFont="1" applyFill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3" borderId="2" xfId="0" quotePrefix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vertical="center"/>
    </xf>
    <xf numFmtId="0" fontId="4" fillId="3" borderId="4" xfId="0" quotePrefix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top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left" vertical="top"/>
    </xf>
    <xf numFmtId="0" fontId="5" fillId="6" borderId="1" xfId="0" applyFont="1" applyFill="1" applyBorder="1" applyAlignment="1">
      <alignment horizontal="center" vertical="top"/>
    </xf>
    <xf numFmtId="41" fontId="12" fillId="0" borderId="0" xfId="0" applyNumberFormat="1" applyFont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17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0" borderId="1" xfId="0" quotePrefix="1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2" fontId="17" fillId="8" borderId="1" xfId="0" applyNumberFormat="1" applyFont="1" applyFill="1" applyBorder="1" applyAlignment="1">
      <alignment horizontal="right" vertical="center"/>
    </xf>
    <xf numFmtId="2" fontId="17" fillId="9" borderId="1" xfId="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6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5" fillId="7" borderId="1" xfId="0" applyFont="1" applyFill="1" applyBorder="1" applyAlignment="1">
      <alignment horizontal="center" vertical="top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41" fontId="5" fillId="0" borderId="1" xfId="0" applyNumberFormat="1" applyFont="1" applyBorder="1" applyAlignment="1">
      <alignment horizontal="center" vertical="top" wrapText="1"/>
    </xf>
    <xf numFmtId="0" fontId="1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41D6-2D7A-4039-BE17-E8DB8987E506}">
  <dimension ref="A1:AF219"/>
  <sheetViews>
    <sheetView tabSelected="1" view="pageBreakPreview" topLeftCell="A2" zoomScale="63" zoomScaleNormal="52" zoomScaleSheetLayoutView="52" workbookViewId="0">
      <pane xSplit="1" ySplit="5" topLeftCell="B7" activePane="bottomRight" state="frozen"/>
      <selection activeCell="A2" sqref="A2"/>
      <selection pane="topRight" activeCell="B2" sqref="B2"/>
      <selection pane="bottomLeft" activeCell="A7" sqref="A7"/>
      <selection pane="bottomRight" activeCell="O12" sqref="O12"/>
    </sheetView>
  </sheetViews>
  <sheetFormatPr defaultColWidth="8.77734375" defaultRowHeight="13.8" x14ac:dyDescent="0.25"/>
  <cols>
    <col min="1" max="1" width="4.21875" style="1" customWidth="1"/>
    <col min="2" max="2" width="14.44140625" style="3" customWidth="1"/>
    <col min="3" max="3" width="15" style="43" customWidth="1"/>
    <col min="4" max="4" width="19.44140625" style="69" customWidth="1"/>
    <col min="5" max="6" width="12.77734375" style="1" customWidth="1"/>
    <col min="7" max="7" width="14.77734375" style="70" customWidth="1"/>
    <col min="8" max="8" width="8.44140625" style="70" customWidth="1"/>
    <col min="9" max="9" width="7" style="70" customWidth="1"/>
    <col min="10" max="10" width="10.44140625" style="70" customWidth="1"/>
    <col min="11" max="11" width="10.21875" style="70" customWidth="1"/>
    <col min="12" max="12" width="11.77734375" style="1" customWidth="1"/>
    <col min="13" max="13" width="9.77734375" style="1" customWidth="1"/>
    <col min="14" max="14" width="11.6640625" style="1" customWidth="1"/>
    <col min="15" max="15" width="11.33203125" style="1" customWidth="1"/>
    <col min="16" max="16" width="8.88671875" style="1" customWidth="1"/>
    <col min="17" max="17" width="11" style="1" customWidth="1"/>
    <col min="18" max="18" width="9.109375" style="1" customWidth="1"/>
    <col min="19" max="19" width="11.21875" style="1" customWidth="1"/>
    <col min="20" max="20" width="10.21875" style="1" customWidth="1"/>
    <col min="21" max="21" width="10" style="1" customWidth="1"/>
    <col min="22" max="22" width="12.44140625" style="1" customWidth="1"/>
    <col min="23" max="23" width="13.21875" style="1" customWidth="1"/>
    <col min="24" max="25" width="12.21875" style="1" customWidth="1"/>
    <col min="26" max="26" width="13.21875" style="1" customWidth="1"/>
    <col min="27" max="27" width="36" style="1" customWidth="1"/>
    <col min="28" max="28" width="9.21875" style="1" customWidth="1"/>
    <col min="29" max="29" width="3.6640625" style="1" customWidth="1"/>
    <col min="30" max="30" width="44.5546875" style="1" customWidth="1"/>
    <col min="31" max="16384" width="8.77734375" style="1"/>
  </cols>
  <sheetData>
    <row r="1" spans="1:30" ht="16.5" customHeight="1" x14ac:dyDescent="0.3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</row>
    <row r="2" spans="1:30" ht="16.5" customHeight="1" x14ac:dyDescent="0.3">
      <c r="A2" s="125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2"/>
    </row>
    <row r="3" spans="1:30" ht="12.6" customHeight="1" x14ac:dyDescent="0.3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3"/>
      <c r="AC3" s="2"/>
    </row>
    <row r="4" spans="1:30" ht="29.25" customHeight="1" x14ac:dyDescent="0.25">
      <c r="A4" s="127" t="s">
        <v>2</v>
      </c>
      <c r="B4" s="120" t="s">
        <v>3</v>
      </c>
      <c r="C4" s="128" t="s">
        <v>4</v>
      </c>
      <c r="D4" s="120" t="s">
        <v>5</v>
      </c>
      <c r="E4" s="129" t="s">
        <v>6</v>
      </c>
      <c r="F4" s="121" t="s">
        <v>7</v>
      </c>
      <c r="G4" s="121" t="s">
        <v>8</v>
      </c>
      <c r="H4" s="121" t="s">
        <v>9</v>
      </c>
      <c r="I4" s="122" t="s">
        <v>10</v>
      </c>
      <c r="J4" s="123"/>
      <c r="K4" s="124"/>
      <c r="L4" s="120" t="s">
        <v>11</v>
      </c>
      <c r="M4" s="120" t="s">
        <v>12</v>
      </c>
      <c r="N4" s="120"/>
      <c r="O4" s="120"/>
      <c r="P4" s="120"/>
      <c r="Q4" s="120"/>
      <c r="R4" s="120"/>
      <c r="S4" s="120"/>
      <c r="T4" s="120"/>
      <c r="U4" s="120"/>
      <c r="V4" s="120" t="s">
        <v>13</v>
      </c>
      <c r="W4" s="120" t="s">
        <v>14</v>
      </c>
      <c r="X4" s="132" t="s">
        <v>15</v>
      </c>
      <c r="Y4" s="120" t="s">
        <v>16</v>
      </c>
      <c r="Z4" s="120" t="s">
        <v>204</v>
      </c>
      <c r="AA4" s="129" t="s">
        <v>17</v>
      </c>
      <c r="AB4" s="120" t="s">
        <v>18</v>
      </c>
      <c r="AD4" s="130" t="s">
        <v>206</v>
      </c>
    </row>
    <row r="5" spans="1:30" ht="15" customHeight="1" x14ac:dyDescent="0.25">
      <c r="A5" s="127"/>
      <c r="B5" s="120"/>
      <c r="C5" s="128"/>
      <c r="D5" s="120"/>
      <c r="E5" s="129"/>
      <c r="F5" s="121"/>
      <c r="G5" s="121"/>
      <c r="H5" s="121"/>
      <c r="I5" s="133" t="s">
        <v>19</v>
      </c>
      <c r="J5" s="133" t="s">
        <v>20</v>
      </c>
      <c r="K5" s="135" t="s">
        <v>21</v>
      </c>
      <c r="L5" s="120"/>
      <c r="M5" s="121" t="s">
        <v>22</v>
      </c>
      <c r="N5" s="121" t="s">
        <v>23</v>
      </c>
      <c r="O5" s="121" t="s">
        <v>24</v>
      </c>
      <c r="P5" s="121" t="s">
        <v>25</v>
      </c>
      <c r="Q5" s="121" t="s">
        <v>26</v>
      </c>
      <c r="R5" s="121" t="s">
        <v>27</v>
      </c>
      <c r="S5" s="121" t="s">
        <v>28</v>
      </c>
      <c r="T5" s="120" t="s">
        <v>203</v>
      </c>
      <c r="U5" s="120" t="s">
        <v>29</v>
      </c>
      <c r="V5" s="120"/>
      <c r="W5" s="120"/>
      <c r="X5" s="132"/>
      <c r="Y5" s="120"/>
      <c r="Z5" s="120"/>
      <c r="AA5" s="129"/>
      <c r="AB5" s="120"/>
      <c r="AD5" s="130"/>
    </row>
    <row r="6" spans="1:30" ht="28.05" customHeight="1" x14ac:dyDescent="0.25">
      <c r="A6" s="127"/>
      <c r="B6" s="120"/>
      <c r="C6" s="128"/>
      <c r="D6" s="120"/>
      <c r="E6" s="129"/>
      <c r="F6" s="121"/>
      <c r="G6" s="121"/>
      <c r="H6" s="121"/>
      <c r="I6" s="134"/>
      <c r="J6" s="134"/>
      <c r="K6" s="136"/>
      <c r="L6" s="120"/>
      <c r="M6" s="121"/>
      <c r="N6" s="121"/>
      <c r="O6" s="121"/>
      <c r="P6" s="121"/>
      <c r="Q6" s="121"/>
      <c r="R6" s="121"/>
      <c r="S6" s="121"/>
      <c r="T6" s="120"/>
      <c r="U6" s="120"/>
      <c r="V6" s="120"/>
      <c r="W6" s="120"/>
      <c r="X6" s="132"/>
      <c r="Y6" s="120"/>
      <c r="Z6" s="120"/>
      <c r="AA6" s="129"/>
      <c r="AB6" s="120"/>
      <c r="AD6" s="130"/>
    </row>
    <row r="7" spans="1:30" s="8" customFormat="1" ht="12.6" customHeight="1" x14ac:dyDescent="0.3">
      <c r="A7" s="78" t="s">
        <v>30</v>
      </c>
      <c r="B7" s="4" t="s">
        <v>31</v>
      </c>
      <c r="C7" s="81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5">
        <v>11</v>
      </c>
      <c r="J7" s="5">
        <v>12</v>
      </c>
      <c r="K7" s="6" t="s">
        <v>38</v>
      </c>
      <c r="L7" s="7">
        <v>14</v>
      </c>
      <c r="M7" s="7">
        <v>15</v>
      </c>
      <c r="N7" s="7">
        <v>16</v>
      </c>
      <c r="O7" s="7">
        <v>17</v>
      </c>
      <c r="P7" s="7">
        <v>18</v>
      </c>
      <c r="Q7" s="7">
        <v>19</v>
      </c>
      <c r="R7" s="7">
        <v>20</v>
      </c>
      <c r="S7" s="7">
        <v>21</v>
      </c>
      <c r="T7" s="7">
        <v>22</v>
      </c>
      <c r="U7" s="7">
        <v>23</v>
      </c>
      <c r="V7" s="7">
        <v>24</v>
      </c>
      <c r="W7" s="7">
        <v>25</v>
      </c>
      <c r="X7" s="7">
        <v>26</v>
      </c>
      <c r="Y7" s="7">
        <v>27</v>
      </c>
      <c r="Z7" s="7">
        <v>28</v>
      </c>
      <c r="AA7" s="7">
        <v>29</v>
      </c>
      <c r="AB7" s="7">
        <v>30</v>
      </c>
    </row>
    <row r="8" spans="1:30" s="17" customFormat="1" ht="52.5" customHeight="1" x14ac:dyDescent="0.3">
      <c r="A8" s="9">
        <v>1</v>
      </c>
      <c r="B8" s="10" t="s">
        <v>39</v>
      </c>
      <c r="C8" s="10" t="s">
        <v>40</v>
      </c>
      <c r="D8" s="10" t="s">
        <v>292</v>
      </c>
      <c r="E8" s="10" t="s">
        <v>41</v>
      </c>
      <c r="F8" s="10" t="s">
        <v>42</v>
      </c>
      <c r="G8" s="73">
        <v>2025</v>
      </c>
      <c r="H8" s="11">
        <v>2</v>
      </c>
      <c r="I8" s="12"/>
      <c r="J8" s="11">
        <v>2</v>
      </c>
      <c r="K8" s="13">
        <f>SUM(I8:J8)</f>
        <v>2</v>
      </c>
      <c r="L8" s="14">
        <v>16000</v>
      </c>
      <c r="M8" s="14">
        <v>4000</v>
      </c>
      <c r="N8" s="14"/>
      <c r="O8" s="14"/>
      <c r="P8" s="14"/>
      <c r="Q8" s="14"/>
      <c r="R8" s="14"/>
      <c r="S8" s="14"/>
      <c r="T8" s="14"/>
      <c r="U8" s="14">
        <v>24</v>
      </c>
      <c r="V8" s="14">
        <f>SUM(M8:S8)</f>
        <v>4000</v>
      </c>
      <c r="W8" s="15" t="s">
        <v>158</v>
      </c>
      <c r="X8" s="15" t="s">
        <v>159</v>
      </c>
      <c r="Y8" s="15" t="s">
        <v>138</v>
      </c>
      <c r="Z8" s="9"/>
      <c r="AA8" s="71" t="s">
        <v>160</v>
      </c>
      <c r="AB8" s="16" t="s">
        <v>43</v>
      </c>
    </row>
    <row r="9" spans="1:30" s="17" customFormat="1" ht="47.1" customHeight="1" x14ac:dyDescent="0.3">
      <c r="A9" s="9">
        <v>2</v>
      </c>
      <c r="B9" s="10" t="s">
        <v>44</v>
      </c>
      <c r="C9" s="10" t="s">
        <v>45</v>
      </c>
      <c r="D9" s="10" t="s">
        <v>293</v>
      </c>
      <c r="E9" s="10" t="s">
        <v>46</v>
      </c>
      <c r="F9" s="21" t="s">
        <v>122</v>
      </c>
      <c r="G9" s="74">
        <v>2025</v>
      </c>
      <c r="H9" s="12">
        <v>7</v>
      </c>
      <c r="I9" s="12"/>
      <c r="J9" s="12">
        <v>7</v>
      </c>
      <c r="K9" s="13">
        <f t="shared" ref="K9:K34" si="0">SUM(I9:J9)</f>
        <v>7</v>
      </c>
      <c r="L9" s="14">
        <v>1000</v>
      </c>
      <c r="M9" s="14">
        <v>2000</v>
      </c>
      <c r="N9" s="14">
        <v>8000</v>
      </c>
      <c r="O9" s="14"/>
      <c r="P9" s="14"/>
      <c r="Q9" s="14"/>
      <c r="R9" s="14"/>
      <c r="S9" s="14"/>
      <c r="T9" s="14"/>
      <c r="U9" s="14">
        <v>60</v>
      </c>
      <c r="V9" s="14">
        <f t="shared" ref="V9:V34" si="1">SUM(M9:S9)</f>
        <v>10000</v>
      </c>
      <c r="W9" s="15" t="s">
        <v>191</v>
      </c>
      <c r="X9" s="15" t="s">
        <v>155</v>
      </c>
      <c r="Y9" s="15" t="s">
        <v>138</v>
      </c>
      <c r="Z9" s="9"/>
      <c r="AA9" s="71" t="s">
        <v>157</v>
      </c>
      <c r="AB9" s="16" t="s">
        <v>43</v>
      </c>
    </row>
    <row r="10" spans="1:30" s="17" customFormat="1" ht="47.1" customHeight="1" x14ac:dyDescent="0.3">
      <c r="A10" s="9">
        <v>3</v>
      </c>
      <c r="B10" s="10" t="s">
        <v>39</v>
      </c>
      <c r="C10" s="10" t="s">
        <v>48</v>
      </c>
      <c r="D10" s="10" t="s">
        <v>294</v>
      </c>
      <c r="E10" s="10" t="s">
        <v>49</v>
      </c>
      <c r="F10" s="21" t="s">
        <v>47</v>
      </c>
      <c r="G10" s="74">
        <v>2025</v>
      </c>
      <c r="H10" s="12">
        <v>3</v>
      </c>
      <c r="I10" s="9"/>
      <c r="J10" s="12">
        <v>2</v>
      </c>
      <c r="K10" s="13">
        <f>SUM(J10:J10)</f>
        <v>2</v>
      </c>
      <c r="L10" s="14">
        <v>1000</v>
      </c>
      <c r="M10" s="14">
        <v>5000</v>
      </c>
      <c r="N10" s="14"/>
      <c r="O10" s="14"/>
      <c r="P10" s="14"/>
      <c r="Q10" s="14"/>
      <c r="R10" s="14"/>
      <c r="S10" s="14"/>
      <c r="T10" s="14"/>
      <c r="U10" s="14">
        <v>30</v>
      </c>
      <c r="V10" s="14">
        <f t="shared" si="1"/>
        <v>5000</v>
      </c>
      <c r="W10" s="15" t="s">
        <v>190</v>
      </c>
      <c r="X10" s="15" t="s">
        <v>155</v>
      </c>
      <c r="Y10" s="15" t="s">
        <v>138</v>
      </c>
      <c r="Z10" s="9"/>
      <c r="AA10" s="111" t="s">
        <v>174</v>
      </c>
      <c r="AB10" s="16" t="s">
        <v>43</v>
      </c>
    </row>
    <row r="11" spans="1:30" s="17" customFormat="1" ht="47.1" customHeight="1" x14ac:dyDescent="0.3">
      <c r="A11" s="9">
        <v>4</v>
      </c>
      <c r="B11" s="10" t="s">
        <v>39</v>
      </c>
      <c r="C11" s="10" t="s">
        <v>51</v>
      </c>
      <c r="D11" s="10" t="s">
        <v>295</v>
      </c>
      <c r="E11" s="10" t="s">
        <v>52</v>
      </c>
      <c r="F11" s="10" t="s">
        <v>42</v>
      </c>
      <c r="G11" s="73">
        <v>2024</v>
      </c>
      <c r="H11" s="12">
        <v>18</v>
      </c>
      <c r="I11" s="12">
        <v>15</v>
      </c>
      <c r="J11" s="12"/>
      <c r="K11" s="13">
        <f t="shared" si="0"/>
        <v>15</v>
      </c>
      <c r="L11" s="14">
        <v>11200</v>
      </c>
      <c r="M11" s="14">
        <v>6000</v>
      </c>
      <c r="N11" s="14">
        <v>9000</v>
      </c>
      <c r="O11" s="14"/>
      <c r="P11" s="14"/>
      <c r="Q11" s="14"/>
      <c r="R11" s="14"/>
      <c r="S11" s="14"/>
      <c r="T11" s="14"/>
      <c r="U11" s="14">
        <v>90</v>
      </c>
      <c r="V11" s="14">
        <f t="shared" si="1"/>
        <v>15000</v>
      </c>
      <c r="W11" s="15" t="s">
        <v>189</v>
      </c>
      <c r="X11" s="15" t="s">
        <v>155</v>
      </c>
      <c r="Y11" s="15" t="s">
        <v>138</v>
      </c>
      <c r="Z11" s="9"/>
      <c r="AA11" s="111" t="s">
        <v>173</v>
      </c>
      <c r="AB11" s="16" t="s">
        <v>43</v>
      </c>
    </row>
    <row r="12" spans="1:30" s="17" customFormat="1" ht="47.1" customHeight="1" x14ac:dyDescent="0.3">
      <c r="A12" s="9">
        <v>5</v>
      </c>
      <c r="B12" s="10" t="s">
        <v>39</v>
      </c>
      <c r="C12" s="10" t="s">
        <v>53</v>
      </c>
      <c r="D12" s="10" t="s">
        <v>296</v>
      </c>
      <c r="E12" s="10" t="s">
        <v>121</v>
      </c>
      <c r="F12" s="10" t="s">
        <v>55</v>
      </c>
      <c r="G12" s="73">
        <v>2025</v>
      </c>
      <c r="H12" s="12">
        <v>4</v>
      </c>
      <c r="I12" s="12"/>
      <c r="J12" s="12">
        <v>4</v>
      </c>
      <c r="K12" s="13">
        <f t="shared" si="0"/>
        <v>4</v>
      </c>
      <c r="L12" s="14">
        <v>3051.75</v>
      </c>
      <c r="M12" s="14"/>
      <c r="N12" s="14">
        <v>10000</v>
      </c>
      <c r="O12" s="14"/>
      <c r="P12" s="14"/>
      <c r="Q12" s="14"/>
      <c r="R12" s="14"/>
      <c r="S12" s="14"/>
      <c r="T12" s="14"/>
      <c r="U12" s="14">
        <v>60</v>
      </c>
      <c r="V12" s="14">
        <f t="shared" si="1"/>
        <v>10000</v>
      </c>
      <c r="W12" s="15" t="s">
        <v>192</v>
      </c>
      <c r="X12" s="15" t="s">
        <v>155</v>
      </c>
      <c r="Y12" s="15" t="s">
        <v>138</v>
      </c>
      <c r="Z12" s="9"/>
      <c r="AA12" s="111" t="s">
        <v>172</v>
      </c>
      <c r="AB12" s="16" t="s">
        <v>43</v>
      </c>
    </row>
    <row r="13" spans="1:30" s="17" customFormat="1" ht="47.1" customHeight="1" x14ac:dyDescent="0.3">
      <c r="A13" s="9">
        <v>6</v>
      </c>
      <c r="B13" s="10" t="s">
        <v>39</v>
      </c>
      <c r="C13" s="10" t="s">
        <v>56</v>
      </c>
      <c r="D13" s="10" t="s">
        <v>297</v>
      </c>
      <c r="E13" s="10" t="s">
        <v>57</v>
      </c>
      <c r="F13" s="10" t="s">
        <v>42</v>
      </c>
      <c r="G13" s="73">
        <v>2025</v>
      </c>
      <c r="H13" s="12">
        <v>8</v>
      </c>
      <c r="I13" s="12"/>
      <c r="J13" s="12">
        <v>8</v>
      </c>
      <c r="K13" s="13">
        <f t="shared" si="0"/>
        <v>8</v>
      </c>
      <c r="L13" s="14">
        <v>14400</v>
      </c>
      <c r="M13" s="14">
        <v>10000</v>
      </c>
      <c r="N13" s="14">
        <v>10000</v>
      </c>
      <c r="O13" s="14"/>
      <c r="P13" s="14"/>
      <c r="Q13" s="14"/>
      <c r="R13" s="14"/>
      <c r="S13" s="14"/>
      <c r="T13" s="14"/>
      <c r="U13" s="14">
        <v>120</v>
      </c>
      <c r="V13" s="14">
        <f t="shared" si="1"/>
        <v>20000</v>
      </c>
      <c r="W13" s="15" t="s">
        <v>183</v>
      </c>
      <c r="X13" s="15" t="s">
        <v>155</v>
      </c>
      <c r="Y13" s="15" t="s">
        <v>138</v>
      </c>
      <c r="Z13" s="9"/>
      <c r="AA13" s="111" t="s">
        <v>172</v>
      </c>
      <c r="AB13" s="16" t="s">
        <v>43</v>
      </c>
    </row>
    <row r="14" spans="1:30" s="29" customFormat="1" ht="47.1" customHeight="1" x14ac:dyDescent="0.3">
      <c r="A14" s="9">
        <v>7</v>
      </c>
      <c r="B14" s="24" t="s">
        <v>39</v>
      </c>
      <c r="C14" s="24" t="s">
        <v>59</v>
      </c>
      <c r="D14" s="24" t="s">
        <v>298</v>
      </c>
      <c r="E14" s="24" t="s">
        <v>60</v>
      </c>
      <c r="F14" s="37" t="s">
        <v>117</v>
      </c>
      <c r="G14" s="75">
        <v>2023</v>
      </c>
      <c r="H14" s="25">
        <v>0</v>
      </c>
      <c r="I14" s="25">
        <v>0</v>
      </c>
      <c r="J14" s="25">
        <v>0</v>
      </c>
      <c r="K14" s="13">
        <f t="shared" si="0"/>
        <v>0</v>
      </c>
      <c r="L14" s="26" t="s">
        <v>114</v>
      </c>
      <c r="M14" s="26">
        <v>2200</v>
      </c>
      <c r="N14" s="26">
        <v>1750</v>
      </c>
      <c r="O14" s="26"/>
      <c r="P14" s="26"/>
      <c r="Q14" s="26">
        <v>1000</v>
      </c>
      <c r="R14" s="26">
        <v>1000</v>
      </c>
      <c r="S14" s="26">
        <v>4000</v>
      </c>
      <c r="T14" s="26"/>
      <c r="U14" s="26"/>
      <c r="V14" s="26">
        <f t="shared" si="1"/>
        <v>9950</v>
      </c>
      <c r="W14" s="27" t="s">
        <v>181</v>
      </c>
      <c r="X14" s="27" t="s">
        <v>186</v>
      </c>
      <c r="Y14" s="27" t="s">
        <v>138</v>
      </c>
      <c r="Z14" s="112"/>
      <c r="AA14" s="37" t="s">
        <v>161</v>
      </c>
      <c r="AB14" s="28" t="s">
        <v>43</v>
      </c>
    </row>
    <row r="15" spans="1:30" s="29" customFormat="1" ht="47.1" customHeight="1" x14ac:dyDescent="0.3">
      <c r="A15" s="9">
        <v>8</v>
      </c>
      <c r="B15" s="30" t="s">
        <v>39</v>
      </c>
      <c r="C15" s="30" t="s">
        <v>56</v>
      </c>
      <c r="D15" s="24" t="s">
        <v>299</v>
      </c>
      <c r="E15" s="24" t="s">
        <v>119</v>
      </c>
      <c r="F15" s="37" t="s">
        <v>118</v>
      </c>
      <c r="G15" s="75">
        <v>2025</v>
      </c>
      <c r="H15" s="25">
        <v>0</v>
      </c>
      <c r="I15" s="25">
        <v>0</v>
      </c>
      <c r="J15" s="25">
        <v>0</v>
      </c>
      <c r="K15" s="13">
        <f t="shared" si="0"/>
        <v>0</v>
      </c>
      <c r="L15" s="26" t="s">
        <v>114</v>
      </c>
      <c r="M15" s="26"/>
      <c r="N15" s="26">
        <v>1800</v>
      </c>
      <c r="O15" s="26"/>
      <c r="P15" s="26"/>
      <c r="Q15" s="26">
        <v>3500</v>
      </c>
      <c r="R15" s="26">
        <v>2000</v>
      </c>
      <c r="S15" s="26">
        <v>5000</v>
      </c>
      <c r="T15" s="26"/>
      <c r="U15" s="26"/>
      <c r="V15" s="26">
        <f t="shared" si="1"/>
        <v>12300</v>
      </c>
      <c r="W15" s="27" t="s">
        <v>182</v>
      </c>
      <c r="X15" s="27" t="s">
        <v>187</v>
      </c>
      <c r="Y15" s="27" t="s">
        <v>138</v>
      </c>
      <c r="Z15" s="112"/>
      <c r="AA15" s="24" t="s">
        <v>61</v>
      </c>
      <c r="AB15" s="28" t="s">
        <v>43</v>
      </c>
    </row>
    <row r="16" spans="1:30" s="36" customFormat="1" ht="52.8" x14ac:dyDescent="0.3">
      <c r="A16" s="9">
        <v>9</v>
      </c>
      <c r="B16" s="31" t="s">
        <v>62</v>
      </c>
      <c r="C16" s="31" t="s">
        <v>53</v>
      </c>
      <c r="D16" s="31" t="s">
        <v>300</v>
      </c>
      <c r="E16" s="31" t="s">
        <v>54</v>
      </c>
      <c r="F16" s="31" t="s">
        <v>55</v>
      </c>
      <c r="G16" s="76">
        <v>2025</v>
      </c>
      <c r="H16" s="32">
        <v>14</v>
      </c>
      <c r="I16" s="32"/>
      <c r="J16" s="32"/>
      <c r="K16" s="13">
        <f t="shared" si="0"/>
        <v>0</v>
      </c>
      <c r="L16" s="33">
        <v>31.4</v>
      </c>
      <c r="M16" s="33"/>
      <c r="N16" s="33"/>
      <c r="O16" s="33">
        <v>14000</v>
      </c>
      <c r="P16" s="33"/>
      <c r="Q16" s="33"/>
      <c r="R16" s="33"/>
      <c r="S16" s="33"/>
      <c r="T16" s="33">
        <v>14</v>
      </c>
      <c r="U16" s="33">
        <v>42</v>
      </c>
      <c r="V16" s="33">
        <f>SUM(M16:S16)</f>
        <v>14000</v>
      </c>
      <c r="W16" s="34" t="s">
        <v>148</v>
      </c>
      <c r="X16" s="34" t="s">
        <v>149</v>
      </c>
      <c r="Y16" s="34" t="s">
        <v>138</v>
      </c>
      <c r="Z16" s="113" t="s">
        <v>205</v>
      </c>
      <c r="AA16" s="31" t="s">
        <v>207</v>
      </c>
      <c r="AB16" s="35" t="s">
        <v>43</v>
      </c>
      <c r="AD16" s="31" t="s">
        <v>152</v>
      </c>
    </row>
    <row r="17" spans="1:30" s="17" customFormat="1" ht="47.1" customHeight="1" x14ac:dyDescent="0.3">
      <c r="A17" s="9">
        <v>10</v>
      </c>
      <c r="B17" s="10" t="s">
        <v>62</v>
      </c>
      <c r="C17" s="10" t="s">
        <v>64</v>
      </c>
      <c r="D17" s="10" t="s">
        <v>301</v>
      </c>
      <c r="E17" s="10" t="s">
        <v>65</v>
      </c>
      <c r="F17" s="10" t="s">
        <v>66</v>
      </c>
      <c r="G17" s="73">
        <v>2021</v>
      </c>
      <c r="H17" s="12">
        <v>32</v>
      </c>
      <c r="I17" s="12">
        <v>12</v>
      </c>
      <c r="J17" s="12"/>
      <c r="K17" s="13">
        <f t="shared" si="0"/>
        <v>12</v>
      </c>
      <c r="L17" s="14"/>
      <c r="M17" s="14">
        <v>10500</v>
      </c>
      <c r="N17" s="14">
        <v>6000</v>
      </c>
      <c r="O17" s="14"/>
      <c r="P17" s="14"/>
      <c r="Q17" s="14"/>
      <c r="R17" s="14"/>
      <c r="S17" s="14"/>
      <c r="T17" s="14"/>
      <c r="U17" s="14">
        <v>99</v>
      </c>
      <c r="V17" s="14">
        <f t="shared" si="1"/>
        <v>16500</v>
      </c>
      <c r="W17" s="15" t="s">
        <v>150</v>
      </c>
      <c r="X17" s="15" t="s">
        <v>153</v>
      </c>
      <c r="Y17" s="15" t="s">
        <v>139</v>
      </c>
      <c r="Z17" s="9"/>
      <c r="AA17" s="71" t="s">
        <v>156</v>
      </c>
      <c r="AB17" s="16" t="s">
        <v>43</v>
      </c>
    </row>
    <row r="18" spans="1:30" s="17" customFormat="1" ht="47.1" customHeight="1" x14ac:dyDescent="0.3">
      <c r="A18" s="9">
        <v>11</v>
      </c>
      <c r="B18" s="10" t="s">
        <v>62</v>
      </c>
      <c r="C18" s="10" t="s">
        <v>67</v>
      </c>
      <c r="D18" s="10" t="s">
        <v>302</v>
      </c>
      <c r="E18" s="10" t="s">
        <v>68</v>
      </c>
      <c r="F18" s="10" t="s">
        <v>58</v>
      </c>
      <c r="G18" s="73">
        <v>2025</v>
      </c>
      <c r="H18" s="12">
        <v>5</v>
      </c>
      <c r="I18" s="12"/>
      <c r="J18" s="12">
        <v>2</v>
      </c>
      <c r="K18" s="13">
        <f t="shared" si="0"/>
        <v>2</v>
      </c>
      <c r="L18" s="14">
        <v>5000</v>
      </c>
      <c r="M18" s="14"/>
      <c r="N18" s="14">
        <v>25000</v>
      </c>
      <c r="O18" s="14"/>
      <c r="P18" s="14"/>
      <c r="Q18" s="14"/>
      <c r="R18" s="14"/>
      <c r="S18" s="14"/>
      <c r="T18" s="14"/>
      <c r="U18" s="14">
        <v>150</v>
      </c>
      <c r="V18" s="14">
        <f t="shared" si="1"/>
        <v>25000</v>
      </c>
      <c r="W18" s="15" t="s">
        <v>150</v>
      </c>
      <c r="X18" s="15" t="s">
        <v>151</v>
      </c>
      <c r="Y18" s="15" t="s">
        <v>139</v>
      </c>
      <c r="Z18" s="9"/>
      <c r="AA18" s="71" t="s">
        <v>154</v>
      </c>
      <c r="AB18" s="16" t="s">
        <v>43</v>
      </c>
    </row>
    <row r="19" spans="1:30" s="17" customFormat="1" ht="47.1" customHeight="1" x14ac:dyDescent="0.3">
      <c r="A19" s="9">
        <v>12</v>
      </c>
      <c r="B19" s="10" t="s">
        <v>69</v>
      </c>
      <c r="C19" s="10" t="s">
        <v>70</v>
      </c>
      <c r="D19" s="10" t="s">
        <v>303</v>
      </c>
      <c r="E19" s="10" t="s">
        <v>71</v>
      </c>
      <c r="F19" s="10" t="s">
        <v>58</v>
      </c>
      <c r="G19" s="73">
        <v>2025</v>
      </c>
      <c r="H19" s="12">
        <v>10</v>
      </c>
      <c r="I19" s="12"/>
      <c r="J19" s="12">
        <v>10</v>
      </c>
      <c r="K19" s="13">
        <f t="shared" si="0"/>
        <v>10</v>
      </c>
      <c r="L19" s="14">
        <v>17480</v>
      </c>
      <c r="M19" s="14">
        <v>7000</v>
      </c>
      <c r="N19" s="14"/>
      <c r="O19" s="14"/>
      <c r="P19" s="14"/>
      <c r="Q19" s="14"/>
      <c r="R19" s="14"/>
      <c r="S19" s="14"/>
      <c r="T19" s="14"/>
      <c r="U19" s="14">
        <v>42</v>
      </c>
      <c r="V19" s="14">
        <f t="shared" si="1"/>
        <v>7000</v>
      </c>
      <c r="W19" s="15" t="s">
        <v>201</v>
      </c>
      <c r="X19" s="15" t="s">
        <v>199</v>
      </c>
      <c r="Y19" s="15" t="s">
        <v>139</v>
      </c>
      <c r="Z19" s="9"/>
      <c r="AA19" s="23" t="s">
        <v>50</v>
      </c>
      <c r="AB19" s="16" t="s">
        <v>43</v>
      </c>
    </row>
    <row r="20" spans="1:30" s="17" customFormat="1" ht="47.1" customHeight="1" x14ac:dyDescent="0.3">
      <c r="A20" s="9">
        <v>13</v>
      </c>
      <c r="B20" s="10" t="s">
        <v>69</v>
      </c>
      <c r="C20" s="10" t="s">
        <v>72</v>
      </c>
      <c r="D20" s="10" t="s">
        <v>304</v>
      </c>
      <c r="E20" s="10" t="s">
        <v>73</v>
      </c>
      <c r="F20" s="10" t="s">
        <v>55</v>
      </c>
      <c r="G20" s="73">
        <v>2025</v>
      </c>
      <c r="H20" s="12">
        <v>10</v>
      </c>
      <c r="I20" s="12"/>
      <c r="J20" s="12">
        <v>10</v>
      </c>
      <c r="K20" s="13">
        <f t="shared" si="0"/>
        <v>10</v>
      </c>
      <c r="L20" s="14">
        <v>17480</v>
      </c>
      <c r="M20" s="14"/>
      <c r="N20" s="14">
        <v>7000</v>
      </c>
      <c r="O20" s="14"/>
      <c r="P20" s="14"/>
      <c r="Q20" s="14"/>
      <c r="R20" s="14"/>
      <c r="S20" s="14"/>
      <c r="T20" s="14"/>
      <c r="U20" s="14">
        <v>42</v>
      </c>
      <c r="V20" s="14">
        <f t="shared" si="1"/>
        <v>7000</v>
      </c>
      <c r="W20" s="15" t="s">
        <v>201</v>
      </c>
      <c r="X20" s="15" t="s">
        <v>200</v>
      </c>
      <c r="Y20" s="15" t="s">
        <v>139</v>
      </c>
      <c r="Z20" s="9"/>
      <c r="AA20" s="23" t="s">
        <v>50</v>
      </c>
      <c r="AB20" s="16" t="s">
        <v>43</v>
      </c>
    </row>
    <row r="21" spans="1:30" s="17" customFormat="1" ht="47.1" customHeight="1" x14ac:dyDescent="0.3">
      <c r="A21" s="9">
        <v>14</v>
      </c>
      <c r="B21" s="10" t="s">
        <v>74</v>
      </c>
      <c r="C21" s="10" t="s">
        <v>75</v>
      </c>
      <c r="D21" s="10" t="s">
        <v>305</v>
      </c>
      <c r="E21" s="10" t="s">
        <v>76</v>
      </c>
      <c r="F21" s="10" t="s">
        <v>77</v>
      </c>
      <c r="G21" s="73">
        <v>2026</v>
      </c>
      <c r="H21" s="12">
        <v>5</v>
      </c>
      <c r="I21" s="12"/>
      <c r="J21" s="12">
        <v>5</v>
      </c>
      <c r="K21" s="13">
        <f t="shared" si="0"/>
        <v>5</v>
      </c>
      <c r="L21" s="14">
        <v>1600</v>
      </c>
      <c r="M21" s="14"/>
      <c r="N21" s="14">
        <v>8000</v>
      </c>
      <c r="O21" s="14"/>
      <c r="P21" s="14"/>
      <c r="Q21" s="14"/>
      <c r="R21" s="14"/>
      <c r="S21" s="14"/>
      <c r="T21" s="14"/>
      <c r="U21" s="14">
        <v>24</v>
      </c>
      <c r="V21" s="14">
        <f t="shared" si="1"/>
        <v>8000</v>
      </c>
      <c r="W21" s="15" t="s">
        <v>168</v>
      </c>
      <c r="X21" s="15" t="s">
        <v>143</v>
      </c>
      <c r="Y21" s="15" t="s">
        <v>139</v>
      </c>
      <c r="Z21" s="9"/>
      <c r="AA21" s="71" t="s">
        <v>169</v>
      </c>
      <c r="AB21" s="16" t="s">
        <v>43</v>
      </c>
    </row>
    <row r="22" spans="1:30" s="17" customFormat="1" ht="47.1" customHeight="1" x14ac:dyDescent="0.3">
      <c r="A22" s="9">
        <v>15</v>
      </c>
      <c r="B22" s="10" t="s">
        <v>78</v>
      </c>
      <c r="C22" s="10" t="s">
        <v>79</v>
      </c>
      <c r="D22" s="10" t="s">
        <v>306</v>
      </c>
      <c r="E22" s="10" t="s">
        <v>80</v>
      </c>
      <c r="F22" s="10" t="s">
        <v>55</v>
      </c>
      <c r="G22" s="73">
        <v>2025</v>
      </c>
      <c r="H22" s="12">
        <v>9</v>
      </c>
      <c r="I22" s="12">
        <v>8</v>
      </c>
      <c r="J22" s="12"/>
      <c r="K22" s="13">
        <f t="shared" si="0"/>
        <v>8</v>
      </c>
      <c r="L22" s="14">
        <v>3000</v>
      </c>
      <c r="M22" s="14">
        <v>2000</v>
      </c>
      <c r="N22" s="14">
        <v>6000</v>
      </c>
      <c r="O22" s="14"/>
      <c r="P22" s="14"/>
      <c r="Q22" s="14"/>
      <c r="R22" s="14"/>
      <c r="S22" s="14"/>
      <c r="T22" s="14"/>
      <c r="U22" s="14">
        <v>48</v>
      </c>
      <c r="V22" s="14">
        <f t="shared" si="1"/>
        <v>8000</v>
      </c>
      <c r="W22" s="15" t="s">
        <v>146</v>
      </c>
      <c r="X22" s="15" t="s">
        <v>143</v>
      </c>
      <c r="Y22" s="15" t="s">
        <v>139</v>
      </c>
      <c r="Z22" s="9"/>
      <c r="AA22" s="71" t="s">
        <v>163</v>
      </c>
      <c r="AB22" s="16" t="s">
        <v>43</v>
      </c>
    </row>
    <row r="23" spans="1:30" s="17" customFormat="1" ht="47.1" customHeight="1" x14ac:dyDescent="0.3">
      <c r="A23" s="9">
        <v>16</v>
      </c>
      <c r="B23" s="10" t="s">
        <v>78</v>
      </c>
      <c r="C23" s="10" t="s">
        <v>81</v>
      </c>
      <c r="D23" s="10" t="s">
        <v>307</v>
      </c>
      <c r="E23" s="10" t="s">
        <v>82</v>
      </c>
      <c r="F23" s="10" t="s">
        <v>77</v>
      </c>
      <c r="G23" s="73">
        <v>2025</v>
      </c>
      <c r="H23" s="12">
        <v>8</v>
      </c>
      <c r="I23" s="12"/>
      <c r="J23" s="12">
        <v>2</v>
      </c>
      <c r="K23" s="13">
        <f t="shared" si="0"/>
        <v>2</v>
      </c>
      <c r="L23" s="14">
        <v>1800</v>
      </c>
      <c r="M23" s="14"/>
      <c r="N23" s="14"/>
      <c r="O23" s="14">
        <v>15000</v>
      </c>
      <c r="P23" s="14"/>
      <c r="Q23" s="14"/>
      <c r="R23" s="14"/>
      <c r="S23" s="14"/>
      <c r="T23" s="14"/>
      <c r="U23" s="14">
        <v>45</v>
      </c>
      <c r="V23" s="14">
        <f t="shared" si="1"/>
        <v>15000</v>
      </c>
      <c r="W23" s="15" t="s">
        <v>144</v>
      </c>
      <c r="X23" s="15" t="s">
        <v>143</v>
      </c>
      <c r="Y23" s="15" t="s">
        <v>139</v>
      </c>
      <c r="Z23" s="98" t="s">
        <v>208</v>
      </c>
      <c r="AA23" s="16" t="s">
        <v>209</v>
      </c>
      <c r="AB23" s="16" t="s">
        <v>43</v>
      </c>
      <c r="AD23" s="71" t="s">
        <v>162</v>
      </c>
    </row>
    <row r="24" spans="1:30" s="29" customFormat="1" ht="47.1" customHeight="1" x14ac:dyDescent="0.3">
      <c r="A24" s="9">
        <v>17</v>
      </c>
      <c r="B24" s="37" t="s">
        <v>83</v>
      </c>
      <c r="C24" s="37" t="s">
        <v>84</v>
      </c>
      <c r="D24" s="37" t="s">
        <v>308</v>
      </c>
      <c r="E24" s="37" t="s">
        <v>112</v>
      </c>
      <c r="F24" s="37" t="s">
        <v>113</v>
      </c>
      <c r="G24" s="75">
        <v>2025</v>
      </c>
      <c r="H24" s="25">
        <v>0</v>
      </c>
      <c r="I24" s="25">
        <v>0</v>
      </c>
      <c r="J24" s="25">
        <v>0</v>
      </c>
      <c r="K24" s="13">
        <f t="shared" si="0"/>
        <v>0</v>
      </c>
      <c r="L24" s="26" t="s">
        <v>114</v>
      </c>
      <c r="M24" s="26">
        <v>2200</v>
      </c>
      <c r="N24" s="26">
        <v>2220</v>
      </c>
      <c r="O24" s="26"/>
      <c r="P24" s="26"/>
      <c r="Q24" s="26">
        <v>1500</v>
      </c>
      <c r="R24" s="26">
        <v>1000</v>
      </c>
      <c r="S24" s="26">
        <v>5000</v>
      </c>
      <c r="T24" s="26"/>
      <c r="U24" s="26"/>
      <c r="V24" s="26">
        <f t="shared" si="1"/>
        <v>11920</v>
      </c>
      <c r="W24" s="27" t="s">
        <v>145</v>
      </c>
      <c r="X24" s="27" t="s">
        <v>184</v>
      </c>
      <c r="Y24" s="27" t="s">
        <v>139</v>
      </c>
      <c r="Z24" s="112"/>
      <c r="AA24" s="37" t="s">
        <v>61</v>
      </c>
      <c r="AB24" s="28" t="s">
        <v>43</v>
      </c>
    </row>
    <row r="25" spans="1:30" s="29" customFormat="1" ht="47.1" customHeight="1" x14ac:dyDescent="0.3">
      <c r="A25" s="9">
        <v>18</v>
      </c>
      <c r="B25" s="38" t="s">
        <v>85</v>
      </c>
      <c r="C25" s="38" t="s">
        <v>86</v>
      </c>
      <c r="D25" s="37" t="s">
        <v>309</v>
      </c>
      <c r="E25" s="37" t="s">
        <v>115</v>
      </c>
      <c r="F25" s="37" t="s">
        <v>116</v>
      </c>
      <c r="G25" s="75">
        <v>2025</v>
      </c>
      <c r="H25" s="25">
        <v>0</v>
      </c>
      <c r="I25" s="25">
        <v>0</v>
      </c>
      <c r="J25" s="25">
        <v>0</v>
      </c>
      <c r="K25" s="13">
        <f t="shared" si="0"/>
        <v>0</v>
      </c>
      <c r="L25" s="26" t="s">
        <v>114</v>
      </c>
      <c r="M25" s="26">
        <v>1500</v>
      </c>
      <c r="N25" s="26">
        <v>1500</v>
      </c>
      <c r="O25" s="26"/>
      <c r="P25" s="26"/>
      <c r="Q25" s="26">
        <v>1000</v>
      </c>
      <c r="R25" s="26">
        <v>1000</v>
      </c>
      <c r="S25" s="26">
        <v>3500</v>
      </c>
      <c r="T25" s="26"/>
      <c r="U25" s="26"/>
      <c r="V25" s="26">
        <f t="shared" si="1"/>
        <v>8500</v>
      </c>
      <c r="W25" s="27" t="s">
        <v>170</v>
      </c>
      <c r="X25" s="27" t="s">
        <v>185</v>
      </c>
      <c r="Y25" s="27" t="s">
        <v>139</v>
      </c>
      <c r="Z25" s="112"/>
      <c r="AA25" s="37" t="s">
        <v>61</v>
      </c>
      <c r="AB25" s="28" t="s">
        <v>43</v>
      </c>
    </row>
    <row r="26" spans="1:30" s="17" customFormat="1" ht="59.55" customHeight="1" x14ac:dyDescent="0.3">
      <c r="A26" s="9">
        <v>19</v>
      </c>
      <c r="B26" s="22" t="s">
        <v>85</v>
      </c>
      <c r="C26" s="10" t="s">
        <v>129</v>
      </c>
      <c r="D26" s="23" t="s">
        <v>310</v>
      </c>
      <c r="E26" s="23" t="s">
        <v>130</v>
      </c>
      <c r="F26" s="23" t="s">
        <v>58</v>
      </c>
      <c r="G26" s="73">
        <v>2025</v>
      </c>
      <c r="H26" s="12">
        <v>4</v>
      </c>
      <c r="I26" s="12"/>
      <c r="J26" s="12">
        <v>3</v>
      </c>
      <c r="K26" s="13">
        <f t="shared" si="0"/>
        <v>3</v>
      </c>
      <c r="L26" s="14">
        <v>1000</v>
      </c>
      <c r="M26" s="14"/>
      <c r="N26" s="14">
        <v>4000</v>
      </c>
      <c r="O26" s="14">
        <v>15000</v>
      </c>
      <c r="P26" s="14"/>
      <c r="Q26" s="14"/>
      <c r="R26" s="14"/>
      <c r="S26" s="14"/>
      <c r="T26" s="14"/>
      <c r="U26" s="14">
        <v>45</v>
      </c>
      <c r="V26" s="14">
        <f t="shared" si="1"/>
        <v>19000</v>
      </c>
      <c r="W26" s="15" t="s">
        <v>166</v>
      </c>
      <c r="X26" s="15" t="s">
        <v>143</v>
      </c>
      <c r="Y26" s="15" t="s">
        <v>139</v>
      </c>
      <c r="Z26" s="9"/>
      <c r="AA26" s="71" t="s">
        <v>167</v>
      </c>
      <c r="AB26" s="16" t="s">
        <v>43</v>
      </c>
    </row>
    <row r="27" spans="1:30" s="29" customFormat="1" ht="47.1" customHeight="1" x14ac:dyDescent="0.3">
      <c r="A27" s="9">
        <v>20</v>
      </c>
      <c r="B27" s="37" t="s">
        <v>87</v>
      </c>
      <c r="C27" s="37" t="s">
        <v>88</v>
      </c>
      <c r="D27" s="37" t="s">
        <v>311</v>
      </c>
      <c r="E27" s="37" t="s">
        <v>89</v>
      </c>
      <c r="F27" s="37" t="s">
        <v>120</v>
      </c>
      <c r="G27" s="75">
        <v>2024</v>
      </c>
      <c r="H27" s="25">
        <v>0</v>
      </c>
      <c r="I27" s="25">
        <v>0</v>
      </c>
      <c r="J27" s="25">
        <v>0</v>
      </c>
      <c r="K27" s="13">
        <f t="shared" si="0"/>
        <v>0</v>
      </c>
      <c r="L27" s="26" t="s">
        <v>114</v>
      </c>
      <c r="M27" s="26"/>
      <c r="N27" s="26"/>
      <c r="O27" s="26"/>
      <c r="P27" s="26"/>
      <c r="Q27" s="26">
        <v>3500</v>
      </c>
      <c r="R27" s="26">
        <v>3000</v>
      </c>
      <c r="S27" s="26">
        <v>5000</v>
      </c>
      <c r="T27" s="26"/>
      <c r="U27" s="26"/>
      <c r="V27" s="26">
        <f t="shared" si="1"/>
        <v>11500</v>
      </c>
      <c r="W27" s="27" t="s">
        <v>147</v>
      </c>
      <c r="X27" s="27" t="s">
        <v>188</v>
      </c>
      <c r="Y27" s="27" t="s">
        <v>141</v>
      </c>
      <c r="Z27" s="112"/>
      <c r="AA27" s="37" t="s">
        <v>165</v>
      </c>
      <c r="AB27" s="28" t="s">
        <v>43</v>
      </c>
    </row>
    <row r="28" spans="1:30" s="36" customFormat="1" ht="47.1" customHeight="1" x14ac:dyDescent="0.3">
      <c r="A28" s="9">
        <v>21</v>
      </c>
      <c r="B28" s="39" t="s">
        <v>87</v>
      </c>
      <c r="C28" s="114" t="s">
        <v>90</v>
      </c>
      <c r="D28" s="31" t="s">
        <v>312</v>
      </c>
      <c r="E28" s="39" t="s">
        <v>136</v>
      </c>
      <c r="F28" s="39" t="s">
        <v>137</v>
      </c>
      <c r="G28" s="76">
        <v>2026</v>
      </c>
      <c r="H28" s="32"/>
      <c r="I28" s="32"/>
      <c r="J28" s="32"/>
      <c r="K28" s="13">
        <f t="shared" si="0"/>
        <v>0</v>
      </c>
      <c r="L28" s="33">
        <v>200</v>
      </c>
      <c r="M28" s="33"/>
      <c r="N28" s="33"/>
      <c r="O28" s="33">
        <v>2000</v>
      </c>
      <c r="P28" s="33"/>
      <c r="Q28" s="33"/>
      <c r="R28" s="33"/>
      <c r="S28" s="33"/>
      <c r="T28" s="33">
        <v>2</v>
      </c>
      <c r="U28" s="33">
        <v>6</v>
      </c>
      <c r="V28" s="33">
        <f t="shared" si="1"/>
        <v>2000</v>
      </c>
      <c r="W28" s="34" t="s">
        <v>194</v>
      </c>
      <c r="X28" s="34" t="s">
        <v>195</v>
      </c>
      <c r="Y28" s="34" t="s">
        <v>142</v>
      </c>
      <c r="Z28" s="88"/>
      <c r="AA28" s="31" t="s">
        <v>63</v>
      </c>
      <c r="AB28" s="35" t="s">
        <v>43</v>
      </c>
    </row>
    <row r="29" spans="1:30" s="17" customFormat="1" ht="47.1" customHeight="1" x14ac:dyDescent="0.3">
      <c r="A29" s="9">
        <v>22</v>
      </c>
      <c r="B29" s="22" t="s">
        <v>87</v>
      </c>
      <c r="C29" s="22" t="s">
        <v>132</v>
      </c>
      <c r="D29" s="23" t="s">
        <v>313</v>
      </c>
      <c r="E29" s="23" t="s">
        <v>133</v>
      </c>
      <c r="F29" s="23" t="s">
        <v>42</v>
      </c>
      <c r="G29" s="73">
        <v>2025</v>
      </c>
      <c r="H29" s="12">
        <v>4</v>
      </c>
      <c r="I29" s="12"/>
      <c r="J29" s="12">
        <v>3</v>
      </c>
      <c r="K29" s="13">
        <f t="shared" si="0"/>
        <v>3</v>
      </c>
      <c r="L29" s="14">
        <v>1000</v>
      </c>
      <c r="M29" s="14"/>
      <c r="N29" s="14">
        <v>12000</v>
      </c>
      <c r="O29" s="14"/>
      <c r="P29" s="14"/>
      <c r="Q29" s="14"/>
      <c r="R29" s="14"/>
      <c r="S29" s="14"/>
      <c r="T29" s="14"/>
      <c r="U29" s="14">
        <v>72</v>
      </c>
      <c r="V29" s="14">
        <f t="shared" si="1"/>
        <v>12000</v>
      </c>
      <c r="W29" s="15" t="s">
        <v>197</v>
      </c>
      <c r="X29" s="15" t="s">
        <v>198</v>
      </c>
      <c r="Y29" s="15" t="s">
        <v>138</v>
      </c>
      <c r="Z29" s="9"/>
      <c r="AA29" s="71" t="s">
        <v>164</v>
      </c>
      <c r="AB29" s="16" t="s">
        <v>43</v>
      </c>
    </row>
    <row r="30" spans="1:30" s="36" customFormat="1" ht="47.1" customHeight="1" x14ac:dyDescent="0.3">
      <c r="A30" s="9">
        <v>23</v>
      </c>
      <c r="B30" s="31" t="s">
        <v>91</v>
      </c>
      <c r="C30" s="31" t="s">
        <v>92</v>
      </c>
      <c r="D30" s="31" t="s">
        <v>314</v>
      </c>
      <c r="E30" s="31" t="s">
        <v>93</v>
      </c>
      <c r="F30" s="31" t="s">
        <v>58</v>
      </c>
      <c r="G30" s="76">
        <v>2025</v>
      </c>
      <c r="H30" s="32"/>
      <c r="I30" s="32"/>
      <c r="J30" s="32"/>
      <c r="K30" s="13">
        <f t="shared" si="0"/>
        <v>0</v>
      </c>
      <c r="L30" s="33">
        <v>975</v>
      </c>
      <c r="M30" s="33"/>
      <c r="N30" s="33"/>
      <c r="O30" s="33">
        <v>10000</v>
      </c>
      <c r="P30" s="33"/>
      <c r="Q30" s="33"/>
      <c r="R30" s="33"/>
      <c r="S30" s="33"/>
      <c r="T30" s="33">
        <v>10</v>
      </c>
      <c r="U30" s="33">
        <v>30</v>
      </c>
      <c r="V30" s="33">
        <f t="shared" si="1"/>
        <v>10000</v>
      </c>
      <c r="W30" s="34" t="s">
        <v>193</v>
      </c>
      <c r="X30" s="34" t="s">
        <v>196</v>
      </c>
      <c r="Y30" s="34" t="s">
        <v>138</v>
      </c>
      <c r="Z30" s="88"/>
      <c r="AA30" s="31" t="s">
        <v>171</v>
      </c>
      <c r="AB30" s="35" t="s">
        <v>43</v>
      </c>
    </row>
    <row r="31" spans="1:30" s="17" customFormat="1" ht="47.1" customHeight="1" x14ac:dyDescent="0.3">
      <c r="A31" s="9">
        <v>24</v>
      </c>
      <c r="B31" s="19" t="s">
        <v>94</v>
      </c>
      <c r="C31" s="19" t="s">
        <v>135</v>
      </c>
      <c r="D31" s="71" t="s">
        <v>315</v>
      </c>
      <c r="E31" s="71" t="s">
        <v>131</v>
      </c>
      <c r="F31" s="9" t="s">
        <v>42</v>
      </c>
      <c r="G31" s="9">
        <v>2025</v>
      </c>
      <c r="H31" s="12">
        <v>10</v>
      </c>
      <c r="I31" s="12">
        <v>0</v>
      </c>
      <c r="J31" s="12">
        <v>5</v>
      </c>
      <c r="K31" s="13">
        <f t="shared" si="0"/>
        <v>5</v>
      </c>
      <c r="L31" s="14">
        <v>6000</v>
      </c>
      <c r="M31" s="14">
        <v>2500</v>
      </c>
      <c r="N31" s="14"/>
      <c r="O31" s="14">
        <v>2000</v>
      </c>
      <c r="P31" s="14"/>
      <c r="Q31" s="14"/>
      <c r="R31" s="14"/>
      <c r="S31" s="14"/>
      <c r="T31" s="14"/>
      <c r="U31" s="14">
        <v>63</v>
      </c>
      <c r="V31" s="14">
        <f t="shared" si="1"/>
        <v>4500</v>
      </c>
      <c r="W31" s="15" t="s">
        <v>176</v>
      </c>
      <c r="X31" s="15" t="s">
        <v>143</v>
      </c>
      <c r="Y31" s="15" t="s">
        <v>138</v>
      </c>
      <c r="Z31" s="9"/>
      <c r="AA31" s="71" t="s">
        <v>175</v>
      </c>
      <c r="AB31" s="16" t="s">
        <v>43</v>
      </c>
    </row>
    <row r="32" spans="1:30" s="72" customFormat="1" ht="47.1" customHeight="1" x14ac:dyDescent="0.3">
      <c r="A32" s="9">
        <v>25</v>
      </c>
      <c r="B32" s="87" t="s">
        <v>94</v>
      </c>
      <c r="C32" s="87" t="s">
        <v>95</v>
      </c>
      <c r="D32" s="31" t="s">
        <v>96</v>
      </c>
      <c r="E32" s="31" t="s">
        <v>97</v>
      </c>
      <c r="F32" s="88" t="s">
        <v>134</v>
      </c>
      <c r="G32" s="88">
        <v>2026</v>
      </c>
      <c r="H32" s="32"/>
      <c r="I32" s="32"/>
      <c r="J32" s="32"/>
      <c r="K32" s="13">
        <f t="shared" si="0"/>
        <v>0</v>
      </c>
      <c r="L32" s="33">
        <v>50</v>
      </c>
      <c r="M32" s="33"/>
      <c r="N32" s="33"/>
      <c r="O32" s="33">
        <v>4000</v>
      </c>
      <c r="P32" s="33"/>
      <c r="Q32" s="33"/>
      <c r="R32" s="33"/>
      <c r="S32" s="33"/>
      <c r="T32" s="33">
        <v>4</v>
      </c>
      <c r="U32" s="33">
        <v>12</v>
      </c>
      <c r="V32" s="33">
        <f t="shared" si="1"/>
        <v>4000</v>
      </c>
      <c r="W32" s="34" t="s">
        <v>202</v>
      </c>
      <c r="X32" s="34" t="s">
        <v>195</v>
      </c>
      <c r="Y32" s="34" t="s">
        <v>140</v>
      </c>
      <c r="Z32" s="115"/>
      <c r="AA32" s="31" t="s">
        <v>63</v>
      </c>
      <c r="AB32" s="35" t="s">
        <v>43</v>
      </c>
    </row>
    <row r="33" spans="1:32" s="17" customFormat="1" ht="47.1" customHeight="1" x14ac:dyDescent="0.3">
      <c r="A33" s="9">
        <v>26</v>
      </c>
      <c r="B33" s="19" t="s">
        <v>123</v>
      </c>
      <c r="C33" s="19" t="s">
        <v>124</v>
      </c>
      <c r="D33" s="18" t="s">
        <v>316</v>
      </c>
      <c r="E33" s="71" t="s">
        <v>125</v>
      </c>
      <c r="F33" s="19" t="s">
        <v>126</v>
      </c>
      <c r="G33" s="77">
        <v>2025</v>
      </c>
      <c r="H33" s="12">
        <v>8</v>
      </c>
      <c r="I33" s="12"/>
      <c r="J33" s="12">
        <v>7</v>
      </c>
      <c r="K33" s="13">
        <f t="shared" si="0"/>
        <v>7</v>
      </c>
      <c r="L33" s="14">
        <v>3900</v>
      </c>
      <c r="M33" s="14">
        <v>3000</v>
      </c>
      <c r="N33" s="14">
        <v>4000</v>
      </c>
      <c r="O33" s="14"/>
      <c r="P33" s="14"/>
      <c r="Q33" s="14"/>
      <c r="R33" s="14"/>
      <c r="S33" s="14"/>
      <c r="T33" s="14"/>
      <c r="U33" s="14">
        <v>42</v>
      </c>
      <c r="V33" s="14">
        <f t="shared" si="1"/>
        <v>7000</v>
      </c>
      <c r="W33" s="15" t="s">
        <v>178</v>
      </c>
      <c r="X33" s="15" t="s">
        <v>143</v>
      </c>
      <c r="Y33" s="15" t="s">
        <v>138</v>
      </c>
      <c r="Z33" s="9"/>
      <c r="AA33" s="71" t="s">
        <v>180</v>
      </c>
      <c r="AB33" s="16" t="s">
        <v>43</v>
      </c>
    </row>
    <row r="34" spans="1:32" s="17" customFormat="1" ht="47.1" customHeight="1" x14ac:dyDescent="0.3">
      <c r="A34" s="9">
        <v>27</v>
      </c>
      <c r="B34" s="19" t="s">
        <v>123</v>
      </c>
      <c r="C34" s="19" t="s">
        <v>127</v>
      </c>
      <c r="D34" s="18" t="s">
        <v>317</v>
      </c>
      <c r="E34" s="71" t="s">
        <v>128</v>
      </c>
      <c r="F34" s="19" t="s">
        <v>126</v>
      </c>
      <c r="G34" s="77">
        <v>2025</v>
      </c>
      <c r="H34" s="12">
        <v>8</v>
      </c>
      <c r="I34" s="12"/>
      <c r="J34" s="12">
        <v>5</v>
      </c>
      <c r="K34" s="13">
        <f t="shared" si="0"/>
        <v>5</v>
      </c>
      <c r="L34" s="14">
        <v>4573</v>
      </c>
      <c r="M34" s="14"/>
      <c r="N34" s="14">
        <v>7000</v>
      </c>
      <c r="O34" s="14"/>
      <c r="P34" s="14"/>
      <c r="Q34" s="14"/>
      <c r="R34" s="14"/>
      <c r="S34" s="14"/>
      <c r="T34" s="14"/>
      <c r="U34" s="14">
        <v>42</v>
      </c>
      <c r="V34" s="14">
        <f t="shared" si="1"/>
        <v>7000</v>
      </c>
      <c r="W34" s="15" t="s">
        <v>179</v>
      </c>
      <c r="X34" s="15" t="s">
        <v>143</v>
      </c>
      <c r="Y34" s="15" t="s">
        <v>138</v>
      </c>
      <c r="Z34" s="9"/>
      <c r="AA34" s="71" t="s">
        <v>177</v>
      </c>
      <c r="AB34" s="16" t="s">
        <v>43</v>
      </c>
    </row>
    <row r="35" spans="1:32" s="17" customFormat="1" ht="47.1" customHeight="1" x14ac:dyDescent="0.3">
      <c r="A35" s="79"/>
      <c r="B35" s="21"/>
      <c r="C35" s="82"/>
      <c r="D35" s="16"/>
      <c r="E35" s="16"/>
      <c r="F35" s="9"/>
      <c r="G35" s="9"/>
      <c r="H35" s="12"/>
      <c r="I35" s="12"/>
      <c r="J35" s="12"/>
      <c r="K35" s="1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5"/>
      <c r="X35" s="15"/>
      <c r="Y35" s="15"/>
      <c r="Z35" s="20"/>
      <c r="AA35" s="16"/>
      <c r="AB35" s="16"/>
    </row>
    <row r="36" spans="1:32" s="43" customFormat="1" ht="16.5" customHeight="1" x14ac:dyDescent="0.25">
      <c r="A36" s="80"/>
      <c r="B36" s="131" t="s">
        <v>98</v>
      </c>
      <c r="C36" s="131"/>
      <c r="D36" s="131"/>
      <c r="E36" s="40"/>
      <c r="F36" s="40"/>
      <c r="G36" s="41"/>
      <c r="H36" s="42">
        <f>SUM(H8:H35)</f>
        <v>169</v>
      </c>
      <c r="I36" s="42">
        <f t="shared" ref="I36:V36" si="2">SUM(I8:I35)</f>
        <v>35</v>
      </c>
      <c r="J36" s="42">
        <f t="shared" si="2"/>
        <v>75</v>
      </c>
      <c r="K36" s="42">
        <f t="shared" si="2"/>
        <v>110</v>
      </c>
      <c r="L36" s="42">
        <f t="shared" si="2"/>
        <v>110741.15</v>
      </c>
      <c r="M36" s="42">
        <f t="shared" si="2"/>
        <v>57900</v>
      </c>
      <c r="N36" s="42">
        <f t="shared" si="2"/>
        <v>123270</v>
      </c>
      <c r="O36" s="42">
        <f t="shared" si="2"/>
        <v>62000</v>
      </c>
      <c r="P36" s="42">
        <f t="shared" si="2"/>
        <v>0</v>
      </c>
      <c r="Q36" s="42">
        <f t="shared" si="2"/>
        <v>10500</v>
      </c>
      <c r="R36" s="42">
        <f t="shared" si="2"/>
        <v>8000</v>
      </c>
      <c r="S36" s="42">
        <f t="shared" si="2"/>
        <v>22500</v>
      </c>
      <c r="T36" s="42">
        <f t="shared" si="2"/>
        <v>30</v>
      </c>
      <c r="U36" s="42">
        <f t="shared" si="2"/>
        <v>1188</v>
      </c>
      <c r="V36" s="42">
        <f t="shared" si="2"/>
        <v>284170</v>
      </c>
      <c r="W36" s="40"/>
      <c r="X36" s="40"/>
      <c r="Y36" s="40"/>
      <c r="Z36" s="40"/>
      <c r="AA36" s="131"/>
      <c r="AB36" s="131"/>
      <c r="AC36" s="1"/>
    </row>
    <row r="37" spans="1:32" s="43" customFormat="1" ht="15" customHeight="1" x14ac:dyDescent="0.25">
      <c r="A37" s="1"/>
      <c r="B37" s="83"/>
      <c r="C37" s="44"/>
      <c r="D37" s="45"/>
      <c r="E37" s="46"/>
      <c r="F37" s="46"/>
      <c r="G37" s="47"/>
      <c r="H37" s="47"/>
      <c r="I37" s="47"/>
      <c r="J37" s="47"/>
      <c r="K37" s="4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32" s="49" customFormat="1" ht="15" customHeight="1" x14ac:dyDescent="0.25">
      <c r="A38" s="48"/>
      <c r="C38" s="50"/>
      <c r="E38" s="51"/>
      <c r="F38" s="52"/>
      <c r="G38" s="52"/>
      <c r="H38" s="52"/>
      <c r="I38" s="52"/>
      <c r="J38" s="53"/>
      <c r="K38" s="52"/>
      <c r="L38" s="52"/>
      <c r="M38" s="89">
        <f>SUM(M36:S36)</f>
        <v>284170</v>
      </c>
      <c r="N38" s="52"/>
      <c r="O38" s="52"/>
      <c r="P38" s="52"/>
      <c r="Q38" s="52"/>
      <c r="R38" s="52"/>
      <c r="S38" s="52"/>
      <c r="T38" s="52"/>
      <c r="U38" s="52" t="s">
        <v>99</v>
      </c>
      <c r="V38" s="52"/>
      <c r="W38" s="52" t="s">
        <v>100</v>
      </c>
      <c r="Z38" s="54"/>
      <c r="AA38" s="54"/>
      <c r="AB38" s="54"/>
      <c r="AC38" s="54"/>
      <c r="AD38" s="48"/>
      <c r="AE38" s="48"/>
      <c r="AF38" s="48"/>
    </row>
    <row r="39" spans="1:32" s="49" customFormat="1" ht="15" customHeight="1" x14ac:dyDescent="0.25">
      <c r="A39" s="48"/>
      <c r="B39" s="55" t="s">
        <v>101</v>
      </c>
      <c r="C39" s="56"/>
      <c r="D39" s="55"/>
      <c r="F39" s="57" t="s">
        <v>102</v>
      </c>
      <c r="G39" s="58"/>
      <c r="H39" s="52"/>
      <c r="I39" s="52"/>
      <c r="J39" s="59">
        <f>M36</f>
        <v>57900</v>
      </c>
      <c r="K39" s="52"/>
      <c r="L39" s="52"/>
      <c r="M39" s="60" t="s">
        <v>103</v>
      </c>
      <c r="O39" s="52"/>
      <c r="P39" s="52"/>
      <c r="Q39" s="52"/>
      <c r="R39" s="52"/>
      <c r="S39" s="52"/>
      <c r="T39" s="52"/>
      <c r="U39" s="61">
        <f>J39*80%/3</f>
        <v>15440</v>
      </c>
      <c r="V39" s="61"/>
      <c r="W39" s="61">
        <f>J39*70%/3</f>
        <v>13510</v>
      </c>
      <c r="Z39" s="54"/>
      <c r="AA39" s="54"/>
      <c r="AB39" s="54"/>
      <c r="AC39" s="54"/>
      <c r="AD39" s="48"/>
      <c r="AE39" s="48"/>
      <c r="AF39" s="48"/>
    </row>
    <row r="40" spans="1:32" s="49" customFormat="1" ht="15" customHeight="1" x14ac:dyDescent="0.25">
      <c r="A40" s="48"/>
      <c r="B40" s="55" t="s">
        <v>104</v>
      </c>
      <c r="C40" s="56"/>
      <c r="D40" s="55"/>
      <c r="F40" s="57" t="s">
        <v>105</v>
      </c>
      <c r="G40" s="58"/>
      <c r="H40" s="58"/>
      <c r="I40" s="58"/>
      <c r="J40" s="59">
        <f>N36</f>
        <v>123270</v>
      </c>
      <c r="K40" s="58"/>
      <c r="L40" s="52"/>
      <c r="M40" s="60" t="s">
        <v>106</v>
      </c>
      <c r="O40" s="52"/>
      <c r="P40" s="52"/>
      <c r="Q40" s="52"/>
      <c r="R40" s="52"/>
      <c r="S40" s="52"/>
      <c r="T40" s="52"/>
      <c r="U40" s="61">
        <f>J40*80%/3</f>
        <v>32872</v>
      </c>
      <c r="V40" s="61"/>
      <c r="W40" s="61">
        <f>J40*70%/3</f>
        <v>28763</v>
      </c>
      <c r="Z40" s="54"/>
      <c r="AA40" s="54"/>
      <c r="AB40" s="54"/>
      <c r="AC40" s="54"/>
      <c r="AD40" s="48"/>
      <c r="AE40" s="48"/>
      <c r="AF40" s="48"/>
    </row>
    <row r="41" spans="1:32" s="49" customFormat="1" ht="15" customHeight="1" x14ac:dyDescent="0.25">
      <c r="A41" s="48"/>
      <c r="B41" s="55" t="s">
        <v>107</v>
      </c>
      <c r="C41" s="56"/>
      <c r="D41" s="55"/>
      <c r="F41" s="57" t="s">
        <v>108</v>
      </c>
      <c r="G41" s="58"/>
      <c r="H41" s="58"/>
      <c r="I41" s="58"/>
      <c r="J41" s="59">
        <f>O36</f>
        <v>62000</v>
      </c>
      <c r="K41" s="58"/>
      <c r="L41" s="52"/>
      <c r="M41" s="60" t="s">
        <v>109</v>
      </c>
      <c r="O41" s="52"/>
      <c r="P41" s="52"/>
      <c r="Q41" s="52"/>
      <c r="R41" s="52"/>
      <c r="S41" s="52"/>
      <c r="T41" s="52"/>
      <c r="U41" s="61">
        <f>J41*80%/10</f>
        <v>4960</v>
      </c>
      <c r="V41" s="61"/>
      <c r="W41" s="61">
        <f>J41*70%/10</f>
        <v>4340</v>
      </c>
      <c r="Z41" s="54"/>
      <c r="AA41" s="54"/>
      <c r="AB41" s="54"/>
      <c r="AC41" s="54"/>
      <c r="AD41" s="48"/>
      <c r="AE41" s="48"/>
      <c r="AF41" s="48"/>
    </row>
    <row r="42" spans="1:32" s="49" customFormat="1" ht="15" customHeight="1" x14ac:dyDescent="0.25">
      <c r="A42" s="48"/>
      <c r="B42" s="84" t="s">
        <v>110</v>
      </c>
      <c r="C42" s="62"/>
      <c r="D42" s="63"/>
      <c r="F42" s="57" t="s">
        <v>111</v>
      </c>
      <c r="G42" s="64"/>
      <c r="H42" s="64"/>
      <c r="I42" s="64"/>
      <c r="J42" s="59">
        <f>U36</f>
        <v>1188</v>
      </c>
      <c r="K42" s="64"/>
      <c r="L42" s="58">
        <f>J42*30</f>
        <v>35640</v>
      </c>
      <c r="M42" s="58">
        <f>L42/1000</f>
        <v>35.64</v>
      </c>
      <c r="O42" s="52"/>
      <c r="P42" s="52"/>
      <c r="Q42" s="52"/>
      <c r="R42" s="52"/>
      <c r="S42" s="52"/>
      <c r="T42" s="52"/>
      <c r="U42" s="65">
        <f>SUM(U39:U41)</f>
        <v>53272</v>
      </c>
      <c r="V42" s="65"/>
      <c r="W42" s="65">
        <f>SUM(W39:W41)</f>
        <v>46613</v>
      </c>
      <c r="Z42" s="54"/>
      <c r="AA42" s="54"/>
      <c r="AB42" s="54"/>
      <c r="AC42" s="54"/>
      <c r="AD42" s="48"/>
      <c r="AE42" s="48"/>
      <c r="AF42" s="48"/>
    </row>
    <row r="43" spans="1:32" s="43" customFormat="1" ht="14.55" customHeight="1" x14ac:dyDescent="0.25">
      <c r="A43" s="1"/>
      <c r="B43" s="85"/>
      <c r="C43" s="66"/>
      <c r="D43" s="67"/>
      <c r="E43" s="68"/>
      <c r="F43" s="68"/>
      <c r="G43" s="47"/>
      <c r="H43" s="47"/>
      <c r="I43" s="47"/>
      <c r="J43" s="47"/>
      <c r="K43" s="4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32" s="43" customFormat="1" ht="11.25" customHeight="1" x14ac:dyDescent="0.25">
      <c r="A44" s="1"/>
      <c r="B44" s="85"/>
      <c r="C44" s="66"/>
      <c r="D44" s="67"/>
      <c r="E44" s="68"/>
      <c r="F44" s="68"/>
      <c r="G44" s="47"/>
      <c r="H44" s="47"/>
      <c r="I44" s="47"/>
      <c r="J44" s="47"/>
      <c r="K44" s="4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32" s="43" customFormat="1" ht="11.25" customHeight="1" x14ac:dyDescent="0.25">
      <c r="A45" s="1"/>
      <c r="B45" s="83"/>
      <c r="C45" s="44"/>
      <c r="D45" s="45"/>
      <c r="E45" s="46"/>
      <c r="F45" s="46"/>
      <c r="G45" s="47"/>
      <c r="H45" s="47"/>
      <c r="I45" s="47"/>
      <c r="J45" s="47"/>
      <c r="K45" s="4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66" spans="1:29" s="43" customFormat="1" ht="11.25" customHeight="1" x14ac:dyDescent="0.25">
      <c r="A66" s="1"/>
      <c r="B66" s="3"/>
      <c r="D66" s="69"/>
      <c r="E66" s="1"/>
      <c r="F66" s="1"/>
      <c r="G66" s="70"/>
      <c r="H66" s="70"/>
      <c r="I66" s="70"/>
      <c r="J66" s="70"/>
      <c r="K66" s="7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s="43" customFormat="1" ht="11.25" customHeight="1" x14ac:dyDescent="0.25">
      <c r="A67" s="1"/>
      <c r="B67" s="3"/>
      <c r="D67" s="69"/>
      <c r="E67" s="1"/>
      <c r="F67" s="1"/>
      <c r="G67" s="70"/>
      <c r="H67" s="70"/>
      <c r="I67" s="70"/>
      <c r="J67" s="70"/>
      <c r="K67" s="7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s="43" customFormat="1" ht="11.25" customHeight="1" x14ac:dyDescent="0.25">
      <c r="A68" s="1"/>
      <c r="B68" s="3"/>
      <c r="D68" s="69"/>
      <c r="E68" s="1"/>
      <c r="F68" s="1"/>
      <c r="G68" s="70"/>
      <c r="H68" s="70"/>
      <c r="I68" s="70"/>
      <c r="J68" s="70"/>
      <c r="K68" s="7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s="43" customFormat="1" ht="11.25" customHeight="1" x14ac:dyDescent="0.25">
      <c r="A69" s="1"/>
      <c r="B69" s="3"/>
      <c r="D69" s="69"/>
      <c r="E69" s="1"/>
      <c r="F69" s="1"/>
      <c r="G69" s="70"/>
      <c r="H69" s="70"/>
      <c r="I69" s="70"/>
      <c r="J69" s="70"/>
      <c r="K69" s="7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s="43" customFormat="1" ht="11.25" customHeight="1" x14ac:dyDescent="0.25">
      <c r="A70" s="1"/>
      <c r="B70" s="3"/>
      <c r="D70" s="69"/>
      <c r="E70" s="1"/>
      <c r="F70" s="1"/>
      <c r="G70" s="70"/>
      <c r="H70" s="70"/>
      <c r="I70" s="70"/>
      <c r="J70" s="70"/>
      <c r="K70" s="7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s="43" customFormat="1" ht="11.25" customHeight="1" x14ac:dyDescent="0.25">
      <c r="A71" s="1"/>
      <c r="B71" s="3"/>
      <c r="D71" s="69"/>
      <c r="E71" s="1"/>
      <c r="F71" s="1"/>
      <c r="G71" s="70"/>
      <c r="H71" s="70"/>
      <c r="I71" s="70"/>
      <c r="J71" s="70"/>
      <c r="K71" s="7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s="43" customFormat="1" ht="11.25" customHeight="1" x14ac:dyDescent="0.25">
      <c r="A72" s="1"/>
      <c r="B72" s="3"/>
      <c r="D72" s="69"/>
      <c r="E72" s="1"/>
      <c r="F72" s="1"/>
      <c r="G72" s="70"/>
      <c r="H72" s="70"/>
      <c r="I72" s="70"/>
      <c r="J72" s="70"/>
      <c r="K72" s="7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s="43" customFormat="1" ht="11.25" customHeight="1" x14ac:dyDescent="0.25">
      <c r="A73" s="1"/>
      <c r="B73" s="3"/>
      <c r="D73" s="69"/>
      <c r="E73" s="1"/>
      <c r="F73" s="1"/>
      <c r="G73" s="70"/>
      <c r="H73" s="70"/>
      <c r="I73" s="70"/>
      <c r="J73" s="70"/>
      <c r="K73" s="7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s="43" customFormat="1" ht="11.25" customHeight="1" x14ac:dyDescent="0.25">
      <c r="A74" s="1"/>
      <c r="B74" s="3"/>
      <c r="D74" s="69"/>
      <c r="E74" s="1"/>
      <c r="F74" s="1"/>
      <c r="G74" s="70"/>
      <c r="H74" s="70"/>
      <c r="I74" s="70"/>
      <c r="J74" s="70"/>
      <c r="K74" s="7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s="43" customFormat="1" ht="11.25" customHeight="1" x14ac:dyDescent="0.25">
      <c r="A75" s="1"/>
      <c r="B75" s="3"/>
      <c r="D75" s="69"/>
      <c r="E75" s="1"/>
      <c r="F75" s="1"/>
      <c r="G75" s="70"/>
      <c r="H75" s="70"/>
      <c r="I75" s="70"/>
      <c r="J75" s="70"/>
      <c r="K75" s="7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s="43" customFormat="1" ht="11.25" customHeight="1" x14ac:dyDescent="0.25">
      <c r="A76" s="1"/>
      <c r="B76" s="3"/>
      <c r="D76" s="69"/>
      <c r="E76" s="1"/>
      <c r="F76" s="1"/>
      <c r="G76" s="70"/>
      <c r="H76" s="70"/>
      <c r="I76" s="70"/>
      <c r="J76" s="70"/>
      <c r="K76" s="7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s="43" customFormat="1" ht="11.25" customHeight="1" x14ac:dyDescent="0.25">
      <c r="A77" s="1"/>
      <c r="B77" s="3"/>
      <c r="D77" s="69"/>
      <c r="E77" s="1"/>
      <c r="F77" s="1"/>
      <c r="G77" s="70"/>
      <c r="H77" s="70"/>
      <c r="I77" s="70"/>
      <c r="J77" s="70"/>
      <c r="K77" s="7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s="43" customFormat="1" ht="11.25" customHeight="1" x14ac:dyDescent="0.25">
      <c r="A78" s="1"/>
      <c r="B78" s="3"/>
      <c r="D78" s="69"/>
      <c r="E78" s="1"/>
      <c r="F78" s="1"/>
      <c r="G78" s="70"/>
      <c r="H78" s="70"/>
      <c r="I78" s="70"/>
      <c r="J78" s="70"/>
      <c r="K78" s="7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s="43" customFormat="1" ht="11.25" customHeight="1" x14ac:dyDescent="0.25">
      <c r="A79" s="1"/>
      <c r="B79" s="3"/>
      <c r="D79" s="69"/>
      <c r="E79" s="1"/>
      <c r="F79" s="1"/>
      <c r="G79" s="70"/>
      <c r="H79" s="70"/>
      <c r="I79" s="70"/>
      <c r="J79" s="70"/>
      <c r="K79" s="7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s="43" customFormat="1" ht="11.25" customHeight="1" x14ac:dyDescent="0.25">
      <c r="A80" s="1"/>
      <c r="B80" s="3"/>
      <c r="D80" s="69"/>
      <c r="E80" s="1"/>
      <c r="F80" s="1"/>
      <c r="G80" s="70"/>
      <c r="H80" s="70"/>
      <c r="I80" s="70"/>
      <c r="J80" s="70"/>
      <c r="K80" s="7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s="43" customFormat="1" ht="11.25" customHeight="1" x14ac:dyDescent="0.25">
      <c r="A81" s="1"/>
      <c r="B81" s="3"/>
      <c r="D81" s="69"/>
      <c r="E81" s="1"/>
      <c r="F81" s="1"/>
      <c r="G81" s="70"/>
      <c r="H81" s="70"/>
      <c r="I81" s="70"/>
      <c r="J81" s="70"/>
      <c r="K81" s="7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s="43" customFormat="1" ht="11.25" customHeight="1" x14ac:dyDescent="0.25">
      <c r="A82" s="1"/>
      <c r="B82" s="3"/>
      <c r="D82" s="69"/>
      <c r="E82" s="1"/>
      <c r="F82" s="1"/>
      <c r="G82" s="70"/>
      <c r="H82" s="70"/>
      <c r="I82" s="70"/>
      <c r="J82" s="70"/>
      <c r="K82" s="7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s="43" customFormat="1" ht="11.25" customHeight="1" x14ac:dyDescent="0.25">
      <c r="A83" s="1"/>
      <c r="B83" s="3"/>
      <c r="D83" s="69"/>
      <c r="E83" s="1"/>
      <c r="F83" s="1"/>
      <c r="G83" s="70"/>
      <c r="H83" s="70"/>
      <c r="I83" s="70"/>
      <c r="J83" s="70"/>
      <c r="K83" s="7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s="43" customFormat="1" ht="11.25" customHeight="1" x14ac:dyDescent="0.25">
      <c r="A84" s="1"/>
      <c r="B84" s="3"/>
      <c r="D84" s="69"/>
      <c r="E84" s="1"/>
      <c r="F84" s="1"/>
      <c r="G84" s="70"/>
      <c r="H84" s="70"/>
      <c r="I84" s="70"/>
      <c r="J84" s="70"/>
      <c r="K84" s="7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s="43" customFormat="1" ht="11.25" customHeight="1" x14ac:dyDescent="0.25">
      <c r="A85" s="1"/>
      <c r="B85" s="3"/>
      <c r="D85" s="69"/>
      <c r="E85" s="1"/>
      <c r="F85" s="1"/>
      <c r="G85" s="70"/>
      <c r="H85" s="70"/>
      <c r="I85" s="70"/>
      <c r="J85" s="70"/>
      <c r="K85" s="7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s="43" customFormat="1" ht="11.25" customHeight="1" x14ac:dyDescent="0.25">
      <c r="A86" s="1"/>
      <c r="B86" s="3"/>
      <c r="D86" s="69"/>
      <c r="E86" s="1"/>
      <c r="F86" s="1"/>
      <c r="G86" s="70"/>
      <c r="H86" s="70"/>
      <c r="I86" s="70"/>
      <c r="J86" s="70"/>
      <c r="K86" s="7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s="43" customFormat="1" ht="11.25" customHeight="1" x14ac:dyDescent="0.25">
      <c r="A87" s="1"/>
      <c r="B87" s="3"/>
      <c r="D87" s="69"/>
      <c r="E87" s="1"/>
      <c r="F87" s="1"/>
      <c r="G87" s="70"/>
      <c r="H87" s="70"/>
      <c r="I87" s="70"/>
      <c r="J87" s="70"/>
      <c r="K87" s="7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s="43" customFormat="1" ht="11.25" customHeight="1" x14ac:dyDescent="0.25">
      <c r="A88" s="1"/>
      <c r="B88" s="3"/>
      <c r="D88" s="69"/>
      <c r="E88" s="1"/>
      <c r="F88" s="1"/>
      <c r="G88" s="70"/>
      <c r="H88" s="70"/>
      <c r="I88" s="70"/>
      <c r="J88" s="70"/>
      <c r="K88" s="7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s="43" customFormat="1" ht="11.25" customHeight="1" x14ac:dyDescent="0.25">
      <c r="A89" s="1"/>
      <c r="B89" s="3"/>
      <c r="D89" s="69"/>
      <c r="E89" s="1"/>
      <c r="F89" s="1"/>
      <c r="G89" s="70"/>
      <c r="H89" s="70"/>
      <c r="I89" s="70"/>
      <c r="J89" s="70"/>
      <c r="K89" s="7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s="43" customFormat="1" ht="11.25" customHeight="1" x14ac:dyDescent="0.25">
      <c r="A90" s="1"/>
      <c r="B90" s="3"/>
      <c r="D90" s="69"/>
      <c r="E90" s="1"/>
      <c r="F90" s="1"/>
      <c r="G90" s="70"/>
      <c r="H90" s="70"/>
      <c r="I90" s="70"/>
      <c r="J90" s="70"/>
      <c r="K90" s="7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s="43" customFormat="1" ht="11.25" customHeight="1" x14ac:dyDescent="0.25">
      <c r="A91" s="1"/>
      <c r="B91" s="3"/>
      <c r="D91" s="69"/>
      <c r="E91" s="1"/>
      <c r="F91" s="1"/>
      <c r="G91" s="70"/>
      <c r="H91" s="70"/>
      <c r="I91" s="70"/>
      <c r="J91" s="70"/>
      <c r="K91" s="7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s="43" customFormat="1" ht="11.25" customHeight="1" x14ac:dyDescent="0.25">
      <c r="A92" s="1"/>
      <c r="B92" s="3"/>
      <c r="D92" s="69"/>
      <c r="E92" s="1"/>
      <c r="F92" s="1"/>
      <c r="G92" s="70"/>
      <c r="H92" s="70"/>
      <c r="I92" s="70"/>
      <c r="J92" s="70"/>
      <c r="K92" s="7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s="43" customFormat="1" ht="11.25" customHeight="1" x14ac:dyDescent="0.25">
      <c r="A93" s="1"/>
      <c r="B93" s="3"/>
      <c r="D93" s="69"/>
      <c r="E93" s="1"/>
      <c r="F93" s="1"/>
      <c r="G93" s="70"/>
      <c r="H93" s="70"/>
      <c r="I93" s="70"/>
      <c r="J93" s="70"/>
      <c r="K93" s="7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s="43" customFormat="1" ht="11.25" customHeight="1" x14ac:dyDescent="0.25">
      <c r="A94" s="1"/>
      <c r="B94" s="3"/>
      <c r="D94" s="69"/>
      <c r="E94" s="1"/>
      <c r="F94" s="1"/>
      <c r="G94" s="70"/>
      <c r="H94" s="70"/>
      <c r="I94" s="70"/>
      <c r="J94" s="70"/>
      <c r="K94" s="7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s="43" customFormat="1" ht="11.25" customHeight="1" x14ac:dyDescent="0.25">
      <c r="A95" s="1"/>
      <c r="B95" s="3"/>
      <c r="D95" s="69"/>
      <c r="E95" s="1"/>
      <c r="F95" s="1"/>
      <c r="G95" s="70"/>
      <c r="H95" s="70"/>
      <c r="I95" s="70"/>
      <c r="J95" s="70"/>
      <c r="K95" s="7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s="43" customFormat="1" ht="11.25" customHeight="1" x14ac:dyDescent="0.25">
      <c r="A96" s="1"/>
      <c r="B96" s="3"/>
      <c r="D96" s="69"/>
      <c r="E96" s="1"/>
      <c r="F96" s="1"/>
      <c r="G96" s="70"/>
      <c r="H96" s="70"/>
      <c r="I96" s="70"/>
      <c r="J96" s="70"/>
      <c r="K96" s="7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s="43" customFormat="1" ht="11.25" customHeight="1" x14ac:dyDescent="0.25">
      <c r="A97" s="1"/>
      <c r="B97" s="3"/>
      <c r="D97" s="69"/>
      <c r="E97" s="1"/>
      <c r="F97" s="1"/>
      <c r="G97" s="70"/>
      <c r="H97" s="70"/>
      <c r="I97" s="70"/>
      <c r="J97" s="70"/>
      <c r="K97" s="7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s="43" customFormat="1" ht="11.25" customHeight="1" x14ac:dyDescent="0.25">
      <c r="A98" s="1"/>
      <c r="B98" s="3"/>
      <c r="D98" s="69"/>
      <c r="E98" s="1"/>
      <c r="F98" s="1"/>
      <c r="G98" s="70"/>
      <c r="H98" s="70"/>
      <c r="I98" s="70"/>
      <c r="J98" s="70"/>
      <c r="K98" s="7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s="43" customFormat="1" ht="11.25" customHeight="1" x14ac:dyDescent="0.25">
      <c r="A99" s="1"/>
      <c r="B99" s="3"/>
      <c r="D99" s="69"/>
      <c r="E99" s="1"/>
      <c r="F99" s="1"/>
      <c r="G99" s="70"/>
      <c r="H99" s="70"/>
      <c r="I99" s="70"/>
      <c r="J99" s="70"/>
      <c r="K99" s="7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s="43" customFormat="1" ht="11.25" customHeight="1" x14ac:dyDescent="0.25">
      <c r="A100" s="1"/>
      <c r="B100" s="3"/>
      <c r="D100" s="69"/>
      <c r="E100" s="1"/>
      <c r="F100" s="1"/>
      <c r="G100" s="70"/>
      <c r="H100" s="70"/>
      <c r="I100" s="70"/>
      <c r="J100" s="70"/>
      <c r="K100" s="7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s="43" customFormat="1" ht="11.25" customHeight="1" x14ac:dyDescent="0.25">
      <c r="A101" s="1"/>
      <c r="B101" s="3"/>
      <c r="D101" s="69"/>
      <c r="E101" s="1"/>
      <c r="F101" s="1"/>
      <c r="G101" s="70"/>
      <c r="H101" s="70"/>
      <c r="I101" s="70"/>
      <c r="J101" s="70"/>
      <c r="K101" s="7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s="43" customFormat="1" ht="11.25" customHeight="1" x14ac:dyDescent="0.25">
      <c r="A102" s="1"/>
      <c r="B102" s="3"/>
      <c r="D102" s="69"/>
      <c r="E102" s="1"/>
      <c r="F102" s="1"/>
      <c r="G102" s="70"/>
      <c r="H102" s="70"/>
      <c r="I102" s="70"/>
      <c r="J102" s="70"/>
      <c r="K102" s="7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s="43" customFormat="1" ht="11.25" customHeight="1" x14ac:dyDescent="0.25">
      <c r="A103" s="1"/>
      <c r="B103" s="3"/>
      <c r="D103" s="69"/>
      <c r="E103" s="1"/>
      <c r="F103" s="1"/>
      <c r="G103" s="70"/>
      <c r="H103" s="70"/>
      <c r="I103" s="70"/>
      <c r="J103" s="70"/>
      <c r="K103" s="7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s="43" customFormat="1" ht="11.25" customHeight="1" x14ac:dyDescent="0.25">
      <c r="A104" s="1"/>
      <c r="B104" s="3"/>
      <c r="D104" s="69"/>
      <c r="E104" s="1"/>
      <c r="F104" s="1"/>
      <c r="G104" s="70"/>
      <c r="H104" s="70"/>
      <c r="I104" s="70"/>
      <c r="J104" s="70"/>
      <c r="K104" s="7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s="43" customFormat="1" ht="11.25" customHeight="1" x14ac:dyDescent="0.25">
      <c r="A105" s="1"/>
      <c r="B105" s="3"/>
      <c r="D105" s="69"/>
      <c r="E105" s="1"/>
      <c r="F105" s="1"/>
      <c r="G105" s="70"/>
      <c r="H105" s="70"/>
      <c r="I105" s="70"/>
      <c r="J105" s="70"/>
      <c r="K105" s="7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s="43" customFormat="1" ht="11.25" customHeight="1" x14ac:dyDescent="0.25">
      <c r="A106" s="1"/>
      <c r="B106" s="3"/>
      <c r="D106" s="69"/>
      <c r="E106" s="1"/>
      <c r="F106" s="1"/>
      <c r="G106" s="70"/>
      <c r="H106" s="70"/>
      <c r="I106" s="70"/>
      <c r="J106" s="70"/>
      <c r="K106" s="7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s="43" customFormat="1" ht="11.25" customHeight="1" x14ac:dyDescent="0.25">
      <c r="A107" s="1"/>
      <c r="B107" s="3"/>
      <c r="D107" s="69"/>
      <c r="E107" s="1"/>
      <c r="F107" s="1"/>
      <c r="G107" s="70"/>
      <c r="H107" s="70"/>
      <c r="I107" s="70"/>
      <c r="J107" s="70"/>
      <c r="K107" s="7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s="43" customFormat="1" ht="11.25" customHeight="1" x14ac:dyDescent="0.25">
      <c r="A108" s="1"/>
      <c r="B108" s="3"/>
      <c r="D108" s="69"/>
      <c r="E108" s="1"/>
      <c r="F108" s="1"/>
      <c r="G108" s="70"/>
      <c r="H108" s="70"/>
      <c r="I108" s="70"/>
      <c r="J108" s="70"/>
      <c r="K108" s="7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s="43" customFormat="1" ht="11.25" customHeight="1" x14ac:dyDescent="0.25">
      <c r="A109" s="1"/>
      <c r="B109" s="3"/>
      <c r="D109" s="69"/>
      <c r="E109" s="1"/>
      <c r="F109" s="1"/>
      <c r="G109" s="70"/>
      <c r="H109" s="70"/>
      <c r="I109" s="70"/>
      <c r="J109" s="70"/>
      <c r="K109" s="7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s="43" customFormat="1" ht="11.25" customHeight="1" x14ac:dyDescent="0.25">
      <c r="A110" s="1"/>
      <c r="B110" s="3"/>
      <c r="D110" s="69"/>
      <c r="E110" s="1"/>
      <c r="F110" s="1"/>
      <c r="G110" s="70"/>
      <c r="H110" s="70"/>
      <c r="I110" s="70"/>
      <c r="J110" s="70"/>
      <c r="K110" s="7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s="43" customFormat="1" ht="11.25" customHeight="1" x14ac:dyDescent="0.25">
      <c r="A111" s="1"/>
      <c r="B111" s="3"/>
      <c r="D111" s="69"/>
      <c r="E111" s="1"/>
      <c r="F111" s="1"/>
      <c r="G111" s="70"/>
      <c r="H111" s="70"/>
      <c r="I111" s="70"/>
      <c r="J111" s="70"/>
      <c r="K111" s="7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s="43" customFormat="1" ht="11.25" customHeight="1" x14ac:dyDescent="0.25">
      <c r="A112" s="1"/>
      <c r="B112" s="3"/>
      <c r="D112" s="69"/>
      <c r="E112" s="1"/>
      <c r="F112" s="1"/>
      <c r="G112" s="70"/>
      <c r="H112" s="70"/>
      <c r="I112" s="70"/>
      <c r="J112" s="70"/>
      <c r="K112" s="7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s="43" customFormat="1" ht="11.25" customHeight="1" x14ac:dyDescent="0.25">
      <c r="A113" s="1"/>
      <c r="B113" s="3"/>
      <c r="D113" s="69"/>
      <c r="E113" s="1"/>
      <c r="F113" s="1"/>
      <c r="G113" s="70"/>
      <c r="H113" s="70"/>
      <c r="I113" s="70"/>
      <c r="J113" s="70"/>
      <c r="K113" s="7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s="43" customFormat="1" ht="11.25" customHeight="1" x14ac:dyDescent="0.25">
      <c r="A114" s="1"/>
      <c r="B114" s="3"/>
      <c r="D114" s="69"/>
      <c r="E114" s="1"/>
      <c r="F114" s="1"/>
      <c r="G114" s="70"/>
      <c r="H114" s="70"/>
      <c r="I114" s="70"/>
      <c r="J114" s="70"/>
      <c r="K114" s="7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s="43" customFormat="1" ht="11.25" customHeight="1" x14ac:dyDescent="0.25">
      <c r="A115" s="1"/>
      <c r="B115" s="3"/>
      <c r="D115" s="69"/>
      <c r="E115" s="1"/>
      <c r="F115" s="1"/>
      <c r="G115" s="70"/>
      <c r="H115" s="70"/>
      <c r="I115" s="70"/>
      <c r="J115" s="70"/>
      <c r="K115" s="7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s="43" customFormat="1" ht="11.25" customHeight="1" x14ac:dyDescent="0.25">
      <c r="A116" s="1"/>
      <c r="B116" s="3"/>
      <c r="D116" s="69"/>
      <c r="E116" s="1"/>
      <c r="F116" s="1"/>
      <c r="G116" s="70"/>
      <c r="H116" s="70"/>
      <c r="I116" s="70"/>
      <c r="J116" s="70"/>
      <c r="K116" s="7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s="43" customFormat="1" ht="11.25" customHeight="1" x14ac:dyDescent="0.25">
      <c r="A117" s="1"/>
      <c r="B117" s="3"/>
      <c r="D117" s="69"/>
      <c r="E117" s="1"/>
      <c r="F117" s="1"/>
      <c r="G117" s="70"/>
      <c r="H117" s="70"/>
      <c r="I117" s="70"/>
      <c r="J117" s="70"/>
      <c r="K117" s="7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s="43" customFormat="1" ht="11.25" customHeight="1" x14ac:dyDescent="0.25">
      <c r="A118" s="1"/>
      <c r="B118" s="3"/>
      <c r="D118" s="69"/>
      <c r="E118" s="1"/>
      <c r="F118" s="1"/>
      <c r="G118" s="70"/>
      <c r="H118" s="70"/>
      <c r="I118" s="70"/>
      <c r="J118" s="70"/>
      <c r="K118" s="7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s="43" customFormat="1" ht="11.25" customHeight="1" x14ac:dyDescent="0.25">
      <c r="A119" s="1"/>
      <c r="B119" s="3"/>
      <c r="D119" s="69"/>
      <c r="E119" s="1"/>
      <c r="F119" s="1"/>
      <c r="G119" s="70"/>
      <c r="H119" s="70"/>
      <c r="I119" s="70"/>
      <c r="J119" s="70"/>
      <c r="K119" s="7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s="43" customFormat="1" ht="11.25" customHeight="1" x14ac:dyDescent="0.25">
      <c r="A120" s="1"/>
      <c r="B120" s="3"/>
      <c r="D120" s="69"/>
      <c r="E120" s="1"/>
      <c r="F120" s="1"/>
      <c r="G120" s="70"/>
      <c r="H120" s="70"/>
      <c r="I120" s="70"/>
      <c r="J120" s="70"/>
      <c r="K120" s="7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s="43" customFormat="1" ht="11.25" customHeight="1" x14ac:dyDescent="0.25">
      <c r="A121" s="1"/>
      <c r="B121" s="3"/>
      <c r="D121" s="69"/>
      <c r="E121" s="1"/>
      <c r="F121" s="1"/>
      <c r="G121" s="70"/>
      <c r="H121" s="70"/>
      <c r="I121" s="70"/>
      <c r="J121" s="70"/>
      <c r="K121" s="7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s="43" customFormat="1" ht="11.25" customHeight="1" x14ac:dyDescent="0.25">
      <c r="A122" s="1"/>
      <c r="B122" s="3"/>
      <c r="D122" s="69"/>
      <c r="E122" s="1"/>
      <c r="F122" s="1"/>
      <c r="G122" s="70"/>
      <c r="H122" s="70"/>
      <c r="I122" s="70"/>
      <c r="J122" s="70"/>
      <c r="K122" s="7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s="43" customFormat="1" ht="11.25" customHeight="1" x14ac:dyDescent="0.25">
      <c r="A123" s="1"/>
      <c r="B123" s="3"/>
      <c r="D123" s="69"/>
      <c r="E123" s="1"/>
      <c r="F123" s="1"/>
      <c r="G123" s="70"/>
      <c r="H123" s="70"/>
      <c r="I123" s="70"/>
      <c r="J123" s="70"/>
      <c r="K123" s="7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s="43" customFormat="1" ht="11.25" customHeight="1" x14ac:dyDescent="0.25">
      <c r="A124" s="1"/>
      <c r="B124" s="3"/>
      <c r="D124" s="69"/>
      <c r="E124" s="1"/>
      <c r="F124" s="1"/>
      <c r="G124" s="70"/>
      <c r="H124" s="70"/>
      <c r="I124" s="70"/>
      <c r="J124" s="70"/>
      <c r="K124" s="7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s="43" customFormat="1" ht="11.25" customHeight="1" x14ac:dyDescent="0.25">
      <c r="A125" s="1"/>
      <c r="B125" s="3"/>
      <c r="D125" s="69"/>
      <c r="E125" s="1"/>
      <c r="F125" s="1"/>
      <c r="G125" s="70"/>
      <c r="H125" s="70"/>
      <c r="I125" s="70"/>
      <c r="J125" s="70"/>
      <c r="K125" s="7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s="43" customFormat="1" ht="11.25" customHeight="1" x14ac:dyDescent="0.25">
      <c r="A126" s="1"/>
      <c r="B126" s="3"/>
      <c r="D126" s="69"/>
      <c r="E126" s="1"/>
      <c r="F126" s="1"/>
      <c r="G126" s="70"/>
      <c r="H126" s="70"/>
      <c r="I126" s="70"/>
      <c r="J126" s="70"/>
      <c r="K126" s="7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s="43" customFormat="1" ht="11.25" customHeight="1" x14ac:dyDescent="0.25">
      <c r="A127" s="1"/>
      <c r="B127" s="3"/>
      <c r="D127" s="69"/>
      <c r="E127" s="1"/>
      <c r="F127" s="1"/>
      <c r="G127" s="70"/>
      <c r="H127" s="70"/>
      <c r="I127" s="70"/>
      <c r="J127" s="70"/>
      <c r="K127" s="7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s="43" customFormat="1" ht="11.25" customHeight="1" x14ac:dyDescent="0.25">
      <c r="A128" s="1"/>
      <c r="B128" s="3"/>
      <c r="D128" s="69"/>
      <c r="E128" s="1"/>
      <c r="F128" s="1"/>
      <c r="G128" s="70"/>
      <c r="H128" s="70"/>
      <c r="I128" s="70"/>
      <c r="J128" s="70"/>
      <c r="K128" s="7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s="43" customFormat="1" ht="11.25" customHeight="1" x14ac:dyDescent="0.25">
      <c r="A129" s="1"/>
      <c r="B129" s="3"/>
      <c r="D129" s="69"/>
      <c r="E129" s="1"/>
      <c r="F129" s="1"/>
      <c r="G129" s="70"/>
      <c r="H129" s="70"/>
      <c r="I129" s="70"/>
      <c r="J129" s="70"/>
      <c r="K129" s="7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s="43" customFormat="1" ht="11.25" customHeight="1" x14ac:dyDescent="0.25">
      <c r="A130" s="1"/>
      <c r="B130" s="3"/>
      <c r="D130" s="69"/>
      <c r="E130" s="1"/>
      <c r="F130" s="1"/>
      <c r="G130" s="70"/>
      <c r="H130" s="70"/>
      <c r="I130" s="70"/>
      <c r="J130" s="70"/>
      <c r="K130" s="7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s="43" customFormat="1" ht="11.25" customHeight="1" x14ac:dyDescent="0.25">
      <c r="A131" s="1"/>
      <c r="B131" s="3"/>
      <c r="D131" s="69"/>
      <c r="E131" s="1"/>
      <c r="F131" s="1"/>
      <c r="G131" s="70"/>
      <c r="H131" s="70"/>
      <c r="I131" s="70"/>
      <c r="J131" s="70"/>
      <c r="K131" s="7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s="43" customFormat="1" ht="11.25" customHeight="1" x14ac:dyDescent="0.25">
      <c r="A132" s="1"/>
      <c r="B132" s="3"/>
      <c r="D132" s="69"/>
      <c r="E132" s="1"/>
      <c r="F132" s="1"/>
      <c r="G132" s="70"/>
      <c r="H132" s="70"/>
      <c r="I132" s="70"/>
      <c r="J132" s="70"/>
      <c r="K132" s="7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s="43" customFormat="1" ht="11.25" customHeight="1" x14ac:dyDescent="0.25">
      <c r="A133" s="1"/>
      <c r="B133" s="3"/>
      <c r="D133" s="69"/>
      <c r="E133" s="1"/>
      <c r="F133" s="1"/>
      <c r="G133" s="70"/>
      <c r="H133" s="70"/>
      <c r="I133" s="70"/>
      <c r="J133" s="70"/>
      <c r="K133" s="7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s="43" customFormat="1" ht="11.25" customHeight="1" x14ac:dyDescent="0.25">
      <c r="A134" s="1"/>
      <c r="B134" s="3"/>
      <c r="D134" s="69"/>
      <c r="E134" s="1"/>
      <c r="F134" s="1"/>
      <c r="G134" s="70"/>
      <c r="H134" s="70"/>
      <c r="I134" s="70"/>
      <c r="J134" s="70"/>
      <c r="K134" s="7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s="43" customFormat="1" ht="11.25" customHeight="1" x14ac:dyDescent="0.25">
      <c r="A135" s="1"/>
      <c r="B135" s="3"/>
      <c r="D135" s="69"/>
      <c r="E135" s="1"/>
      <c r="F135" s="1"/>
      <c r="G135" s="70"/>
      <c r="H135" s="70"/>
      <c r="I135" s="70"/>
      <c r="J135" s="70"/>
      <c r="K135" s="7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s="43" customFormat="1" ht="11.25" customHeight="1" x14ac:dyDescent="0.25">
      <c r="A136" s="1"/>
      <c r="B136" s="3"/>
      <c r="D136" s="69"/>
      <c r="E136" s="1"/>
      <c r="F136" s="1"/>
      <c r="G136" s="70"/>
      <c r="H136" s="70"/>
      <c r="I136" s="70"/>
      <c r="J136" s="70"/>
      <c r="K136" s="7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s="43" customFormat="1" ht="11.25" customHeight="1" x14ac:dyDescent="0.25">
      <c r="A137" s="1"/>
      <c r="B137" s="3"/>
      <c r="D137" s="69"/>
      <c r="E137" s="1"/>
      <c r="F137" s="1"/>
      <c r="G137" s="70"/>
      <c r="H137" s="70"/>
      <c r="I137" s="70"/>
      <c r="J137" s="70"/>
      <c r="K137" s="7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s="43" customFormat="1" ht="11.25" customHeight="1" x14ac:dyDescent="0.25">
      <c r="A138" s="1"/>
      <c r="B138" s="3"/>
      <c r="D138" s="69"/>
      <c r="E138" s="1"/>
      <c r="F138" s="1"/>
      <c r="G138" s="70"/>
      <c r="H138" s="70"/>
      <c r="I138" s="70"/>
      <c r="J138" s="70"/>
      <c r="K138" s="7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s="43" customFormat="1" ht="11.25" customHeight="1" x14ac:dyDescent="0.25">
      <c r="A139" s="1"/>
      <c r="B139" s="3"/>
      <c r="D139" s="69"/>
      <c r="E139" s="1"/>
      <c r="F139" s="1"/>
      <c r="G139" s="70"/>
      <c r="H139" s="70"/>
      <c r="I139" s="70"/>
      <c r="J139" s="70"/>
      <c r="K139" s="7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s="43" customFormat="1" ht="11.25" customHeight="1" x14ac:dyDescent="0.25">
      <c r="A140" s="1"/>
      <c r="B140" s="3"/>
      <c r="D140" s="69"/>
      <c r="E140" s="1"/>
      <c r="F140" s="1"/>
      <c r="G140" s="70"/>
      <c r="H140" s="70"/>
      <c r="I140" s="70"/>
      <c r="J140" s="70"/>
      <c r="K140" s="7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s="43" customFormat="1" ht="11.25" customHeight="1" x14ac:dyDescent="0.25">
      <c r="A141" s="1"/>
      <c r="B141" s="3"/>
      <c r="D141" s="69"/>
      <c r="E141" s="1"/>
      <c r="F141" s="1"/>
      <c r="G141" s="70"/>
      <c r="H141" s="70"/>
      <c r="I141" s="70"/>
      <c r="J141" s="70"/>
      <c r="K141" s="7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s="43" customFormat="1" ht="11.25" customHeight="1" x14ac:dyDescent="0.25">
      <c r="A142" s="1"/>
      <c r="B142" s="3"/>
      <c r="D142" s="69"/>
      <c r="E142" s="1"/>
      <c r="F142" s="1"/>
      <c r="G142" s="70"/>
      <c r="H142" s="70"/>
      <c r="I142" s="70"/>
      <c r="J142" s="70"/>
      <c r="K142" s="7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s="43" customFormat="1" ht="11.25" customHeight="1" x14ac:dyDescent="0.25">
      <c r="A143" s="1"/>
      <c r="B143" s="3"/>
      <c r="D143" s="69"/>
      <c r="E143" s="1"/>
      <c r="F143" s="1"/>
      <c r="G143" s="70"/>
      <c r="H143" s="70"/>
      <c r="I143" s="70"/>
      <c r="J143" s="70"/>
      <c r="K143" s="7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s="43" customFormat="1" ht="11.25" customHeight="1" x14ac:dyDescent="0.25">
      <c r="A144" s="1"/>
      <c r="B144" s="3"/>
      <c r="D144" s="69"/>
      <c r="E144" s="1"/>
      <c r="F144" s="1"/>
      <c r="G144" s="70"/>
      <c r="H144" s="70"/>
      <c r="I144" s="70"/>
      <c r="J144" s="70"/>
      <c r="K144" s="7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s="43" customFormat="1" ht="11.25" customHeight="1" x14ac:dyDescent="0.25">
      <c r="A145" s="1"/>
      <c r="B145" s="3"/>
      <c r="D145" s="69"/>
      <c r="E145" s="1"/>
      <c r="F145" s="1"/>
      <c r="G145" s="70"/>
      <c r="H145" s="70"/>
      <c r="I145" s="70"/>
      <c r="J145" s="70"/>
      <c r="K145" s="7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s="43" customFormat="1" ht="11.25" customHeight="1" x14ac:dyDescent="0.25">
      <c r="A146" s="1"/>
      <c r="B146" s="3"/>
      <c r="D146" s="69"/>
      <c r="E146" s="1"/>
      <c r="F146" s="1"/>
      <c r="G146" s="70"/>
      <c r="H146" s="70"/>
      <c r="I146" s="70"/>
      <c r="J146" s="70"/>
      <c r="K146" s="7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s="43" customFormat="1" ht="11.25" customHeight="1" x14ac:dyDescent="0.25">
      <c r="A147" s="1"/>
      <c r="B147" s="3"/>
      <c r="D147" s="69"/>
      <c r="E147" s="1"/>
      <c r="F147" s="1"/>
      <c r="G147" s="70"/>
      <c r="H147" s="70"/>
      <c r="I147" s="70"/>
      <c r="J147" s="70"/>
      <c r="K147" s="7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s="43" customFormat="1" ht="11.25" customHeight="1" x14ac:dyDescent="0.25">
      <c r="A148" s="1"/>
      <c r="B148" s="3"/>
      <c r="D148" s="69"/>
      <c r="E148" s="1"/>
      <c r="F148" s="1"/>
      <c r="G148" s="70"/>
      <c r="H148" s="70"/>
      <c r="I148" s="70"/>
      <c r="J148" s="70"/>
      <c r="K148" s="7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s="43" customFormat="1" ht="11.25" customHeight="1" x14ac:dyDescent="0.25">
      <c r="A149" s="1"/>
      <c r="B149" s="3"/>
      <c r="D149" s="69"/>
      <c r="E149" s="1"/>
      <c r="F149" s="1"/>
      <c r="G149" s="70"/>
      <c r="H149" s="70"/>
      <c r="I149" s="70"/>
      <c r="J149" s="70"/>
      <c r="K149" s="7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s="43" customFormat="1" ht="11.25" customHeight="1" x14ac:dyDescent="0.25">
      <c r="A150" s="1"/>
      <c r="B150" s="3"/>
      <c r="D150" s="69"/>
      <c r="E150" s="1"/>
      <c r="F150" s="1"/>
      <c r="G150" s="70"/>
      <c r="H150" s="70"/>
      <c r="I150" s="70"/>
      <c r="J150" s="70"/>
      <c r="K150" s="7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s="43" customFormat="1" ht="11.25" customHeight="1" x14ac:dyDescent="0.25">
      <c r="A151" s="1"/>
      <c r="B151" s="3"/>
      <c r="D151" s="69"/>
      <c r="E151" s="1"/>
      <c r="F151" s="1"/>
      <c r="G151" s="70"/>
      <c r="H151" s="70"/>
      <c r="I151" s="70"/>
      <c r="J151" s="70"/>
      <c r="K151" s="7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s="43" customFormat="1" ht="11.25" customHeight="1" x14ac:dyDescent="0.25">
      <c r="A152" s="1"/>
      <c r="B152" s="3"/>
      <c r="D152" s="69"/>
      <c r="E152" s="1"/>
      <c r="F152" s="1"/>
      <c r="G152" s="70"/>
      <c r="H152" s="70"/>
      <c r="I152" s="70"/>
      <c r="J152" s="70"/>
      <c r="K152" s="7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s="43" customFormat="1" ht="11.25" customHeight="1" x14ac:dyDescent="0.25">
      <c r="A153" s="1"/>
      <c r="B153" s="3"/>
      <c r="D153" s="69"/>
      <c r="E153" s="1"/>
      <c r="F153" s="1"/>
      <c r="G153" s="70"/>
      <c r="H153" s="70"/>
      <c r="I153" s="70"/>
      <c r="J153" s="70"/>
      <c r="K153" s="7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s="43" customFormat="1" ht="11.25" customHeight="1" x14ac:dyDescent="0.25">
      <c r="A154" s="1"/>
      <c r="B154" s="3"/>
      <c r="D154" s="69"/>
      <c r="E154" s="1"/>
      <c r="F154" s="1"/>
      <c r="G154" s="70"/>
      <c r="H154" s="70"/>
      <c r="I154" s="70"/>
      <c r="J154" s="70"/>
      <c r="K154" s="7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s="43" customFormat="1" ht="11.25" customHeight="1" x14ac:dyDescent="0.25">
      <c r="A155" s="1"/>
      <c r="B155" s="3"/>
      <c r="D155" s="69"/>
      <c r="E155" s="1"/>
      <c r="F155" s="1"/>
      <c r="G155" s="70"/>
      <c r="H155" s="70"/>
      <c r="I155" s="70"/>
      <c r="J155" s="70"/>
      <c r="K155" s="7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s="43" customFormat="1" ht="11.25" customHeight="1" x14ac:dyDescent="0.25">
      <c r="A156" s="1"/>
      <c r="B156" s="3"/>
      <c r="D156" s="69"/>
      <c r="E156" s="1"/>
      <c r="F156" s="1"/>
      <c r="G156" s="70"/>
      <c r="H156" s="70"/>
      <c r="I156" s="70"/>
      <c r="J156" s="70"/>
      <c r="K156" s="7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s="43" customFormat="1" ht="11.25" customHeight="1" x14ac:dyDescent="0.25">
      <c r="A157" s="1"/>
      <c r="B157" s="3"/>
      <c r="D157" s="69"/>
      <c r="E157" s="1"/>
      <c r="F157" s="1"/>
      <c r="G157" s="70"/>
      <c r="H157" s="70"/>
      <c r="I157" s="70"/>
      <c r="J157" s="70"/>
      <c r="K157" s="7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s="43" customFormat="1" ht="11.25" customHeight="1" x14ac:dyDescent="0.25">
      <c r="A158" s="1"/>
      <c r="B158" s="3"/>
      <c r="D158" s="69"/>
      <c r="E158" s="1"/>
      <c r="F158" s="1"/>
      <c r="G158" s="70"/>
      <c r="H158" s="70"/>
      <c r="I158" s="70"/>
      <c r="J158" s="70"/>
      <c r="K158" s="7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s="43" customFormat="1" ht="11.25" customHeight="1" x14ac:dyDescent="0.25">
      <c r="A159" s="1"/>
      <c r="B159" s="3"/>
      <c r="D159" s="69"/>
      <c r="E159" s="1"/>
      <c r="F159" s="1"/>
      <c r="G159" s="70"/>
      <c r="H159" s="70"/>
      <c r="I159" s="70"/>
      <c r="J159" s="70"/>
      <c r="K159" s="7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s="43" customFormat="1" ht="11.25" customHeight="1" x14ac:dyDescent="0.25">
      <c r="A160" s="1"/>
      <c r="B160" s="3"/>
      <c r="D160" s="69"/>
      <c r="E160" s="1"/>
      <c r="F160" s="1"/>
      <c r="G160" s="70"/>
      <c r="H160" s="70"/>
      <c r="I160" s="70"/>
      <c r="J160" s="70"/>
      <c r="K160" s="7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s="43" customFormat="1" ht="11.25" customHeight="1" x14ac:dyDescent="0.25">
      <c r="A161" s="1"/>
      <c r="B161" s="3"/>
      <c r="D161" s="69"/>
      <c r="E161" s="1"/>
      <c r="F161" s="1"/>
      <c r="G161" s="70"/>
      <c r="H161" s="70"/>
      <c r="I161" s="70"/>
      <c r="J161" s="70"/>
      <c r="K161" s="7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s="43" customFormat="1" ht="11.25" customHeight="1" x14ac:dyDescent="0.25">
      <c r="A162" s="1"/>
      <c r="B162" s="3"/>
      <c r="D162" s="69"/>
      <c r="E162" s="1"/>
      <c r="F162" s="1"/>
      <c r="G162" s="70"/>
      <c r="H162" s="70"/>
      <c r="I162" s="70"/>
      <c r="J162" s="70"/>
      <c r="K162" s="7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s="43" customFormat="1" ht="11.25" customHeight="1" x14ac:dyDescent="0.25">
      <c r="A163" s="1"/>
      <c r="B163" s="3"/>
      <c r="D163" s="69"/>
      <c r="E163" s="1"/>
      <c r="F163" s="1"/>
      <c r="G163" s="70"/>
      <c r="H163" s="70"/>
      <c r="I163" s="70"/>
      <c r="J163" s="70"/>
      <c r="K163" s="7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s="43" customFormat="1" ht="11.25" customHeight="1" x14ac:dyDescent="0.25">
      <c r="A164" s="1"/>
      <c r="B164" s="3"/>
      <c r="D164" s="69"/>
      <c r="E164" s="1"/>
      <c r="F164" s="1"/>
      <c r="G164" s="70"/>
      <c r="H164" s="70"/>
      <c r="I164" s="70"/>
      <c r="J164" s="70"/>
      <c r="K164" s="7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s="43" customFormat="1" ht="11.25" customHeight="1" x14ac:dyDescent="0.25">
      <c r="A165" s="1"/>
      <c r="B165" s="3"/>
      <c r="D165" s="69"/>
      <c r="E165" s="1"/>
      <c r="F165" s="1"/>
      <c r="G165" s="70"/>
      <c r="H165" s="70"/>
      <c r="I165" s="70"/>
      <c r="J165" s="70"/>
      <c r="K165" s="7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s="43" customFormat="1" ht="11.25" customHeight="1" x14ac:dyDescent="0.25">
      <c r="A166" s="1"/>
      <c r="B166" s="3"/>
      <c r="D166" s="69"/>
      <c r="E166" s="1"/>
      <c r="F166" s="1"/>
      <c r="G166" s="70"/>
      <c r="H166" s="70"/>
      <c r="I166" s="70"/>
      <c r="J166" s="70"/>
      <c r="K166" s="7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s="43" customFormat="1" ht="11.25" customHeight="1" x14ac:dyDescent="0.25">
      <c r="A167" s="1"/>
      <c r="B167" s="3"/>
      <c r="D167" s="69"/>
      <c r="E167" s="1"/>
      <c r="F167" s="1"/>
      <c r="G167" s="70"/>
      <c r="H167" s="70"/>
      <c r="I167" s="70"/>
      <c r="J167" s="70"/>
      <c r="K167" s="7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s="43" customFormat="1" ht="11.25" customHeight="1" x14ac:dyDescent="0.25">
      <c r="A168" s="1"/>
      <c r="B168" s="3"/>
      <c r="D168" s="69"/>
      <c r="E168" s="1"/>
      <c r="F168" s="1"/>
      <c r="G168" s="70"/>
      <c r="H168" s="70"/>
      <c r="I168" s="70"/>
      <c r="J168" s="70"/>
      <c r="K168" s="7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s="43" customFormat="1" ht="11.25" customHeight="1" x14ac:dyDescent="0.25">
      <c r="A169" s="1"/>
      <c r="B169" s="3"/>
      <c r="D169" s="69"/>
      <c r="E169" s="1"/>
      <c r="F169" s="1"/>
      <c r="G169" s="70"/>
      <c r="H169" s="70"/>
      <c r="I169" s="70"/>
      <c r="J169" s="70"/>
      <c r="K169" s="7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s="43" customFormat="1" ht="11.25" customHeight="1" x14ac:dyDescent="0.25">
      <c r="A170" s="1"/>
      <c r="B170" s="3"/>
      <c r="D170" s="69"/>
      <c r="E170" s="1"/>
      <c r="F170" s="1"/>
      <c r="G170" s="70"/>
      <c r="H170" s="70"/>
      <c r="I170" s="70"/>
      <c r="J170" s="70"/>
      <c r="K170" s="7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s="43" customFormat="1" ht="11.25" customHeight="1" x14ac:dyDescent="0.25">
      <c r="A171" s="1"/>
      <c r="B171" s="3"/>
      <c r="D171" s="69"/>
      <c r="E171" s="1"/>
      <c r="F171" s="1"/>
      <c r="G171" s="70"/>
      <c r="H171" s="70"/>
      <c r="I171" s="70"/>
      <c r="J171" s="70"/>
      <c r="K171" s="7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s="43" customFormat="1" ht="11.25" customHeight="1" x14ac:dyDescent="0.25">
      <c r="A172" s="1"/>
      <c r="B172" s="3"/>
      <c r="D172" s="69"/>
      <c r="E172" s="1"/>
      <c r="F172" s="1"/>
      <c r="G172" s="70"/>
      <c r="H172" s="70"/>
      <c r="I172" s="70"/>
      <c r="J172" s="70"/>
      <c r="K172" s="7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s="43" customFormat="1" ht="11.25" customHeight="1" x14ac:dyDescent="0.25">
      <c r="A173" s="1"/>
      <c r="B173" s="3"/>
      <c r="D173" s="69"/>
      <c r="E173" s="1"/>
      <c r="F173" s="1"/>
      <c r="G173" s="70"/>
      <c r="H173" s="70"/>
      <c r="I173" s="70"/>
      <c r="J173" s="70"/>
      <c r="K173" s="7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s="43" customFormat="1" ht="11.25" customHeight="1" x14ac:dyDescent="0.25">
      <c r="A174" s="1"/>
      <c r="B174" s="3"/>
      <c r="D174" s="69"/>
      <c r="E174" s="1"/>
      <c r="F174" s="1"/>
      <c r="G174" s="70"/>
      <c r="H174" s="70"/>
      <c r="I174" s="70"/>
      <c r="J174" s="70"/>
      <c r="K174" s="7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s="43" customFormat="1" ht="11.25" customHeight="1" x14ac:dyDescent="0.25">
      <c r="A175" s="1"/>
      <c r="B175" s="3"/>
      <c r="D175" s="69"/>
      <c r="E175" s="1"/>
      <c r="F175" s="1"/>
      <c r="G175" s="70"/>
      <c r="H175" s="70"/>
      <c r="I175" s="70"/>
      <c r="J175" s="70"/>
      <c r="K175" s="7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s="43" customFormat="1" ht="11.25" customHeight="1" x14ac:dyDescent="0.25">
      <c r="A176" s="1"/>
      <c r="B176" s="3"/>
      <c r="D176" s="69"/>
      <c r="E176" s="1"/>
      <c r="F176" s="1"/>
      <c r="G176" s="70"/>
      <c r="H176" s="70"/>
      <c r="I176" s="70"/>
      <c r="J176" s="70"/>
      <c r="K176" s="7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s="43" customFormat="1" ht="11.25" customHeight="1" x14ac:dyDescent="0.25">
      <c r="A177" s="1"/>
      <c r="B177" s="3"/>
      <c r="D177" s="69"/>
      <c r="E177" s="1"/>
      <c r="F177" s="1"/>
      <c r="G177" s="70"/>
      <c r="H177" s="70"/>
      <c r="I177" s="70"/>
      <c r="J177" s="70"/>
      <c r="K177" s="7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s="43" customFormat="1" ht="11.25" customHeight="1" x14ac:dyDescent="0.25">
      <c r="A178" s="1"/>
      <c r="B178" s="3"/>
      <c r="D178" s="69"/>
      <c r="E178" s="1"/>
      <c r="F178" s="1"/>
      <c r="G178" s="70"/>
      <c r="H178" s="70"/>
      <c r="I178" s="70"/>
      <c r="J178" s="70"/>
      <c r="K178" s="7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s="43" customFormat="1" ht="11.25" customHeight="1" x14ac:dyDescent="0.25">
      <c r="A179" s="1"/>
      <c r="B179" s="3"/>
      <c r="D179" s="69"/>
      <c r="E179" s="1"/>
      <c r="F179" s="1"/>
      <c r="G179" s="70"/>
      <c r="H179" s="70"/>
      <c r="I179" s="70"/>
      <c r="J179" s="70"/>
      <c r="K179" s="7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s="43" customFormat="1" ht="11.25" customHeight="1" x14ac:dyDescent="0.25">
      <c r="A180" s="1"/>
      <c r="B180" s="3"/>
      <c r="D180" s="69"/>
      <c r="E180" s="1"/>
      <c r="F180" s="1"/>
      <c r="G180" s="70"/>
      <c r="H180" s="70"/>
      <c r="I180" s="70"/>
      <c r="J180" s="70"/>
      <c r="K180" s="7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s="43" customFormat="1" ht="11.25" customHeight="1" x14ac:dyDescent="0.25">
      <c r="A181" s="1"/>
      <c r="B181" s="3"/>
      <c r="D181" s="69"/>
      <c r="E181" s="1"/>
      <c r="F181" s="1"/>
      <c r="G181" s="70"/>
      <c r="H181" s="70"/>
      <c r="I181" s="70"/>
      <c r="J181" s="70"/>
      <c r="K181" s="7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s="43" customFormat="1" ht="11.25" customHeight="1" x14ac:dyDescent="0.25">
      <c r="A182" s="1"/>
      <c r="B182" s="3"/>
      <c r="D182" s="69"/>
      <c r="E182" s="1"/>
      <c r="F182" s="1"/>
      <c r="G182" s="70"/>
      <c r="H182" s="70"/>
      <c r="I182" s="70"/>
      <c r="J182" s="70"/>
      <c r="K182" s="7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s="43" customFormat="1" ht="11.25" customHeight="1" x14ac:dyDescent="0.25">
      <c r="A183" s="1"/>
      <c r="B183" s="3"/>
      <c r="D183" s="69"/>
      <c r="E183" s="1"/>
      <c r="F183" s="1"/>
      <c r="G183" s="70"/>
      <c r="H183" s="70"/>
      <c r="I183" s="70"/>
      <c r="J183" s="70"/>
      <c r="K183" s="7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s="43" customFormat="1" ht="11.25" customHeight="1" x14ac:dyDescent="0.25">
      <c r="A184" s="1"/>
      <c r="B184" s="3"/>
      <c r="D184" s="69"/>
      <c r="E184" s="1"/>
      <c r="F184" s="1"/>
      <c r="G184" s="70"/>
      <c r="H184" s="70"/>
      <c r="I184" s="70"/>
      <c r="J184" s="70"/>
      <c r="K184" s="7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s="43" customFormat="1" ht="11.25" customHeight="1" x14ac:dyDescent="0.25">
      <c r="A185" s="1"/>
      <c r="B185" s="3"/>
      <c r="D185" s="69"/>
      <c r="E185" s="1"/>
      <c r="F185" s="1"/>
      <c r="G185" s="70"/>
      <c r="H185" s="70"/>
      <c r="I185" s="70"/>
      <c r="J185" s="70"/>
      <c r="K185" s="7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s="43" customFormat="1" ht="11.25" customHeight="1" x14ac:dyDescent="0.25">
      <c r="A186" s="1"/>
      <c r="B186" s="3"/>
      <c r="D186" s="69"/>
      <c r="E186" s="1"/>
      <c r="F186" s="1"/>
      <c r="G186" s="70"/>
      <c r="H186" s="70"/>
      <c r="I186" s="70"/>
      <c r="J186" s="70"/>
      <c r="K186" s="7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s="43" customFormat="1" ht="11.25" customHeight="1" x14ac:dyDescent="0.25">
      <c r="A187" s="1"/>
      <c r="B187" s="3"/>
      <c r="D187" s="69"/>
      <c r="E187" s="1"/>
      <c r="F187" s="1"/>
      <c r="G187" s="70"/>
      <c r="H187" s="70"/>
      <c r="I187" s="70"/>
      <c r="J187" s="70"/>
      <c r="K187" s="7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s="43" customFormat="1" ht="11.25" customHeight="1" x14ac:dyDescent="0.25">
      <c r="A188" s="1"/>
      <c r="B188" s="3"/>
      <c r="D188" s="69"/>
      <c r="E188" s="1"/>
      <c r="F188" s="1"/>
      <c r="G188" s="70"/>
      <c r="H188" s="70"/>
      <c r="I188" s="70"/>
      <c r="J188" s="70"/>
      <c r="K188" s="7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s="43" customFormat="1" ht="11.25" customHeight="1" x14ac:dyDescent="0.25">
      <c r="A189" s="1"/>
      <c r="B189" s="3"/>
      <c r="D189" s="69"/>
      <c r="E189" s="1"/>
      <c r="F189" s="1"/>
      <c r="G189" s="70"/>
      <c r="H189" s="70"/>
      <c r="I189" s="70"/>
      <c r="J189" s="70"/>
      <c r="K189" s="7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s="43" customFormat="1" ht="11.25" customHeight="1" x14ac:dyDescent="0.25">
      <c r="A190" s="1"/>
      <c r="B190" s="3"/>
      <c r="D190" s="69"/>
      <c r="E190" s="1"/>
      <c r="F190" s="1"/>
      <c r="G190" s="70"/>
      <c r="H190" s="70"/>
      <c r="I190" s="70"/>
      <c r="J190" s="70"/>
      <c r="K190" s="7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s="43" customFormat="1" ht="11.25" customHeight="1" x14ac:dyDescent="0.25">
      <c r="A191" s="1"/>
      <c r="B191" s="3"/>
      <c r="D191" s="69"/>
      <c r="E191" s="1"/>
      <c r="F191" s="1"/>
      <c r="G191" s="70"/>
      <c r="H191" s="70"/>
      <c r="I191" s="70"/>
      <c r="J191" s="70"/>
      <c r="K191" s="7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s="43" customFormat="1" ht="11.25" customHeight="1" x14ac:dyDescent="0.25">
      <c r="A192" s="1"/>
      <c r="B192" s="3"/>
      <c r="D192" s="69"/>
      <c r="E192" s="1"/>
      <c r="F192" s="1"/>
      <c r="G192" s="70"/>
      <c r="H192" s="70"/>
      <c r="I192" s="70"/>
      <c r="J192" s="70"/>
      <c r="K192" s="7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s="43" customFormat="1" ht="11.25" customHeight="1" x14ac:dyDescent="0.25">
      <c r="A193" s="1"/>
      <c r="B193" s="3"/>
      <c r="D193" s="69"/>
      <c r="E193" s="1"/>
      <c r="F193" s="1"/>
      <c r="G193" s="70"/>
      <c r="H193" s="70"/>
      <c r="I193" s="70"/>
      <c r="J193" s="70"/>
      <c r="K193" s="7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s="43" customFormat="1" ht="11.25" customHeight="1" x14ac:dyDescent="0.25">
      <c r="A194" s="1"/>
      <c r="B194" s="3"/>
      <c r="D194" s="69"/>
      <c r="E194" s="1"/>
      <c r="F194" s="1"/>
      <c r="G194" s="70"/>
      <c r="H194" s="70"/>
      <c r="I194" s="70"/>
      <c r="J194" s="70"/>
      <c r="K194" s="7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s="43" customFormat="1" ht="11.25" customHeight="1" x14ac:dyDescent="0.25">
      <c r="A195" s="1"/>
      <c r="B195" s="3"/>
      <c r="D195" s="69"/>
      <c r="E195" s="1"/>
      <c r="F195" s="1"/>
      <c r="G195" s="70"/>
      <c r="H195" s="70"/>
      <c r="I195" s="70"/>
      <c r="J195" s="70"/>
      <c r="K195" s="7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s="43" customFormat="1" ht="11.25" customHeight="1" x14ac:dyDescent="0.25">
      <c r="A196" s="1"/>
      <c r="B196" s="3"/>
      <c r="D196" s="69"/>
      <c r="E196" s="1"/>
      <c r="F196" s="1"/>
      <c r="G196" s="70"/>
      <c r="H196" s="70"/>
      <c r="I196" s="70"/>
      <c r="J196" s="70"/>
      <c r="K196" s="7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s="43" customFormat="1" ht="11.25" customHeight="1" x14ac:dyDescent="0.25">
      <c r="A197" s="1"/>
      <c r="B197" s="3"/>
      <c r="D197" s="69"/>
      <c r="E197" s="1"/>
      <c r="F197" s="1"/>
      <c r="G197" s="70"/>
      <c r="H197" s="70"/>
      <c r="I197" s="70"/>
      <c r="J197" s="70"/>
      <c r="K197" s="7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s="43" customFormat="1" ht="11.25" customHeight="1" x14ac:dyDescent="0.25">
      <c r="A198" s="1"/>
      <c r="B198" s="3"/>
      <c r="D198" s="69"/>
      <c r="E198" s="1"/>
      <c r="F198" s="1"/>
      <c r="G198" s="70"/>
      <c r="H198" s="70"/>
      <c r="I198" s="70"/>
      <c r="J198" s="70"/>
      <c r="K198" s="7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s="43" customFormat="1" ht="11.25" customHeight="1" x14ac:dyDescent="0.25">
      <c r="A199" s="1"/>
      <c r="B199" s="3"/>
      <c r="D199" s="69"/>
      <c r="E199" s="1"/>
      <c r="F199" s="1"/>
      <c r="G199" s="70"/>
      <c r="H199" s="70"/>
      <c r="I199" s="70"/>
      <c r="J199" s="70"/>
      <c r="K199" s="7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s="43" customFormat="1" ht="11.25" customHeight="1" x14ac:dyDescent="0.25">
      <c r="A200" s="1"/>
      <c r="B200" s="3"/>
      <c r="D200" s="69"/>
      <c r="E200" s="1"/>
      <c r="F200" s="1"/>
      <c r="G200" s="70"/>
      <c r="H200" s="70"/>
      <c r="I200" s="70"/>
      <c r="J200" s="70"/>
      <c r="K200" s="7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s="43" customFormat="1" ht="11.25" customHeight="1" x14ac:dyDescent="0.25">
      <c r="A201" s="1"/>
      <c r="B201" s="3"/>
      <c r="D201" s="69"/>
      <c r="E201" s="1"/>
      <c r="F201" s="1"/>
      <c r="G201" s="70"/>
      <c r="H201" s="70"/>
      <c r="I201" s="70"/>
      <c r="J201" s="70"/>
      <c r="K201" s="7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s="43" customFormat="1" ht="11.25" customHeight="1" x14ac:dyDescent="0.25">
      <c r="A202" s="1"/>
      <c r="B202" s="3"/>
      <c r="D202" s="69"/>
      <c r="E202" s="1"/>
      <c r="F202" s="1"/>
      <c r="G202" s="70"/>
      <c r="H202" s="70"/>
      <c r="I202" s="70"/>
      <c r="J202" s="70"/>
      <c r="K202" s="7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s="43" customFormat="1" ht="11.25" customHeight="1" x14ac:dyDescent="0.25">
      <c r="A203" s="1"/>
      <c r="B203" s="3"/>
      <c r="D203" s="69"/>
      <c r="E203" s="1"/>
      <c r="F203" s="1"/>
      <c r="G203" s="70"/>
      <c r="H203" s="70"/>
      <c r="I203" s="70"/>
      <c r="J203" s="70"/>
      <c r="K203" s="70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s="43" customFormat="1" ht="11.25" customHeight="1" x14ac:dyDescent="0.25">
      <c r="A204" s="1"/>
      <c r="B204" s="3"/>
      <c r="D204" s="69"/>
      <c r="E204" s="1"/>
      <c r="F204" s="1"/>
      <c r="G204" s="70"/>
      <c r="H204" s="70"/>
      <c r="I204" s="70"/>
      <c r="J204" s="70"/>
      <c r="K204" s="70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s="43" customFormat="1" ht="11.25" customHeight="1" x14ac:dyDescent="0.25">
      <c r="A205" s="1"/>
      <c r="B205" s="3"/>
      <c r="D205" s="69"/>
      <c r="E205" s="1"/>
      <c r="F205" s="1"/>
      <c r="G205" s="70"/>
      <c r="H205" s="70"/>
      <c r="I205" s="70"/>
      <c r="J205" s="70"/>
      <c r="K205" s="70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s="43" customFormat="1" ht="11.25" customHeight="1" x14ac:dyDescent="0.25">
      <c r="A206" s="1"/>
      <c r="B206" s="3"/>
      <c r="D206" s="69"/>
      <c r="E206" s="1"/>
      <c r="F206" s="1"/>
      <c r="G206" s="70"/>
      <c r="H206" s="70"/>
      <c r="I206" s="70"/>
      <c r="J206" s="70"/>
      <c r="K206" s="70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s="43" customFormat="1" ht="11.25" customHeight="1" x14ac:dyDescent="0.25">
      <c r="A207" s="1"/>
      <c r="B207" s="3"/>
      <c r="D207" s="69"/>
      <c r="E207" s="1"/>
      <c r="F207" s="1"/>
      <c r="G207" s="70"/>
      <c r="H207" s="70"/>
      <c r="I207" s="70"/>
      <c r="J207" s="70"/>
      <c r="K207" s="70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s="43" customFormat="1" ht="11.25" customHeight="1" x14ac:dyDescent="0.25">
      <c r="A208" s="1"/>
      <c r="B208" s="3"/>
      <c r="D208" s="69"/>
      <c r="E208" s="1"/>
      <c r="F208" s="1"/>
      <c r="G208" s="70"/>
      <c r="H208" s="70"/>
      <c r="I208" s="70"/>
      <c r="J208" s="70"/>
      <c r="K208" s="7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s="43" customFormat="1" ht="11.25" customHeight="1" x14ac:dyDescent="0.25">
      <c r="A209" s="1"/>
      <c r="B209" s="3"/>
      <c r="D209" s="69"/>
      <c r="E209" s="1"/>
      <c r="F209" s="1"/>
      <c r="G209" s="70"/>
      <c r="H209" s="70"/>
      <c r="I209" s="70"/>
      <c r="J209" s="70"/>
      <c r="K209" s="70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s="43" customFormat="1" ht="11.25" customHeight="1" x14ac:dyDescent="0.25">
      <c r="A210" s="1"/>
      <c r="B210" s="3"/>
      <c r="D210" s="69"/>
      <c r="E210" s="1"/>
      <c r="F210" s="1"/>
      <c r="G210" s="70"/>
      <c r="H210" s="70"/>
      <c r="I210" s="70"/>
      <c r="J210" s="70"/>
      <c r="K210" s="70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s="43" customFormat="1" ht="11.25" customHeight="1" x14ac:dyDescent="0.25">
      <c r="A211" s="1"/>
      <c r="B211" s="3"/>
      <c r="D211" s="69"/>
      <c r="E211" s="1"/>
      <c r="F211" s="1"/>
      <c r="G211" s="70"/>
      <c r="H211" s="70"/>
      <c r="I211" s="70"/>
      <c r="J211" s="70"/>
      <c r="K211" s="70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s="43" customFormat="1" ht="11.25" customHeight="1" x14ac:dyDescent="0.25">
      <c r="A212" s="1"/>
      <c r="B212" s="3"/>
      <c r="D212" s="69"/>
      <c r="E212" s="1"/>
      <c r="F212" s="1"/>
      <c r="G212" s="70"/>
      <c r="H212" s="70"/>
      <c r="I212" s="70"/>
      <c r="J212" s="70"/>
      <c r="K212" s="70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s="43" customFormat="1" ht="11.25" customHeight="1" x14ac:dyDescent="0.25">
      <c r="A213" s="1"/>
      <c r="B213" s="3"/>
      <c r="D213" s="69"/>
      <c r="E213" s="1"/>
      <c r="F213" s="1"/>
      <c r="G213" s="70"/>
      <c r="H213" s="70"/>
      <c r="I213" s="70"/>
      <c r="J213" s="70"/>
      <c r="K213" s="70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s="43" customFormat="1" ht="11.25" customHeight="1" x14ac:dyDescent="0.25">
      <c r="A214" s="1"/>
      <c r="B214" s="3"/>
      <c r="D214" s="69"/>
      <c r="E214" s="1"/>
      <c r="F214" s="1"/>
      <c r="G214" s="70"/>
      <c r="H214" s="70"/>
      <c r="I214" s="70"/>
      <c r="J214" s="70"/>
      <c r="K214" s="70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s="43" customFormat="1" ht="11.25" customHeight="1" x14ac:dyDescent="0.25">
      <c r="A215" s="1"/>
      <c r="B215" s="3"/>
      <c r="D215" s="69"/>
      <c r="E215" s="1"/>
      <c r="F215" s="1"/>
      <c r="G215" s="70"/>
      <c r="H215" s="70"/>
      <c r="I215" s="70"/>
      <c r="J215" s="70"/>
      <c r="K215" s="70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s="43" customFormat="1" ht="11.25" customHeight="1" x14ac:dyDescent="0.25">
      <c r="A216" s="1"/>
      <c r="B216" s="3"/>
      <c r="D216" s="69"/>
      <c r="E216" s="1"/>
      <c r="F216" s="1"/>
      <c r="G216" s="70"/>
      <c r="H216" s="70"/>
      <c r="I216" s="70"/>
      <c r="J216" s="70"/>
      <c r="K216" s="7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s="43" customFormat="1" ht="11.25" customHeight="1" x14ac:dyDescent="0.25">
      <c r="A217" s="1"/>
      <c r="B217" s="3"/>
      <c r="D217" s="69"/>
      <c r="E217" s="1"/>
      <c r="F217" s="1"/>
      <c r="G217" s="70"/>
      <c r="H217" s="70"/>
      <c r="I217" s="70"/>
      <c r="J217" s="70"/>
      <c r="K217" s="70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s="43" customFormat="1" ht="11.25" customHeight="1" x14ac:dyDescent="0.25">
      <c r="A218" s="1"/>
      <c r="B218" s="3"/>
      <c r="D218" s="69"/>
      <c r="E218" s="1"/>
      <c r="F218" s="1"/>
      <c r="G218" s="70"/>
      <c r="H218" s="70"/>
      <c r="I218" s="70"/>
      <c r="J218" s="70"/>
      <c r="K218" s="70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s="43" customFormat="1" ht="11.25" customHeight="1" x14ac:dyDescent="0.25">
      <c r="A219" s="1"/>
      <c r="B219" s="3"/>
      <c r="D219" s="69"/>
      <c r="E219" s="1"/>
      <c r="F219" s="1"/>
      <c r="G219" s="70"/>
      <c r="H219" s="70"/>
      <c r="I219" s="70"/>
      <c r="J219" s="70"/>
      <c r="K219" s="70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</sheetData>
  <mergeCells count="36">
    <mergeCell ref="AD4:AD6"/>
    <mergeCell ref="R5:R6"/>
    <mergeCell ref="S5:S6"/>
    <mergeCell ref="U5:U6"/>
    <mergeCell ref="B36:D36"/>
    <mergeCell ref="AA36:AB36"/>
    <mergeCell ref="X4:X6"/>
    <mergeCell ref="Z4:Z6"/>
    <mergeCell ref="AA4:AA6"/>
    <mergeCell ref="AB4:AB6"/>
    <mergeCell ref="I5:I6"/>
    <mergeCell ref="J5:J6"/>
    <mergeCell ref="K5:K6"/>
    <mergeCell ref="M5:M6"/>
    <mergeCell ref="N5:N6"/>
    <mergeCell ref="O5:O6"/>
    <mergeCell ref="Y4:Y6"/>
    <mergeCell ref="A1:AB1"/>
    <mergeCell ref="A2:AB2"/>
    <mergeCell ref="A3:AA3"/>
    <mergeCell ref="A4:A6"/>
    <mergeCell ref="B4:B6"/>
    <mergeCell ref="C4:C6"/>
    <mergeCell ref="D4:D6"/>
    <mergeCell ref="E4:E6"/>
    <mergeCell ref="F4:F6"/>
    <mergeCell ref="G4:G6"/>
    <mergeCell ref="T5:T6"/>
    <mergeCell ref="M4:U4"/>
    <mergeCell ref="V4:V6"/>
    <mergeCell ref="W4:W6"/>
    <mergeCell ref="P5:P6"/>
    <mergeCell ref="Q5:Q6"/>
    <mergeCell ref="H4:H6"/>
    <mergeCell ref="I4:K4"/>
    <mergeCell ref="L4:L6"/>
  </mergeCells>
  <phoneticPr fontId="15" type="noConversion"/>
  <pageMargins left="0.7" right="0.7" top="0.75" bottom="0.75" header="0.3" footer="0.3"/>
  <pageSetup paperSize="9" scale="38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045A-BA12-4484-9950-FF0DCA120ABD}">
  <dimension ref="A1:AF201"/>
  <sheetViews>
    <sheetView view="pageBreakPreview" topLeftCell="A2" zoomScale="55" zoomScaleNormal="52" zoomScaleSheetLayoutView="52" workbookViewId="0">
      <pane xSplit="1" ySplit="5" topLeftCell="H7" activePane="bottomRight" state="frozen"/>
      <selection activeCell="A2" sqref="A2"/>
      <selection pane="topRight" activeCell="B2" sqref="B2"/>
      <selection pane="bottomLeft" activeCell="A7" sqref="A7"/>
      <selection pane="bottomRight" activeCell="V18" sqref="V18"/>
    </sheetView>
  </sheetViews>
  <sheetFormatPr defaultColWidth="8.77734375" defaultRowHeight="13.8" x14ac:dyDescent="0.25"/>
  <cols>
    <col min="1" max="1" width="4.21875" style="1" customWidth="1"/>
    <col min="2" max="2" width="14.44140625" style="3" customWidth="1"/>
    <col min="3" max="3" width="15" style="43" customWidth="1"/>
    <col min="4" max="4" width="19.44140625" style="69" customWidth="1"/>
    <col min="5" max="6" width="12.77734375" style="1" customWidth="1"/>
    <col min="7" max="7" width="14.77734375" style="70" customWidth="1"/>
    <col min="8" max="8" width="8.44140625" style="70" customWidth="1"/>
    <col min="9" max="9" width="7" style="70" customWidth="1"/>
    <col min="10" max="10" width="10.44140625" style="70" customWidth="1"/>
    <col min="11" max="11" width="10.21875" style="70" customWidth="1"/>
    <col min="12" max="12" width="11.77734375" style="1" customWidth="1"/>
    <col min="13" max="13" width="9.77734375" style="1" customWidth="1"/>
    <col min="14" max="14" width="15.33203125" style="1" customWidth="1"/>
    <col min="15" max="15" width="11.33203125" style="1" customWidth="1"/>
    <col min="16" max="16" width="8.88671875" style="1" customWidth="1"/>
    <col min="17" max="17" width="11" style="1" customWidth="1"/>
    <col min="18" max="18" width="9.109375" style="1" customWidth="1"/>
    <col min="19" max="19" width="11.21875" style="1" customWidth="1"/>
    <col min="20" max="20" width="10.21875" style="1" customWidth="1"/>
    <col min="21" max="21" width="10" style="1" customWidth="1"/>
    <col min="22" max="22" width="12.44140625" style="1" customWidth="1"/>
    <col min="23" max="23" width="13.21875" style="1" customWidth="1"/>
    <col min="24" max="25" width="12.21875" style="1" customWidth="1"/>
    <col min="26" max="26" width="13.21875" style="1" customWidth="1"/>
    <col min="27" max="27" width="36" style="1" customWidth="1"/>
    <col min="28" max="28" width="9.21875" style="1" customWidth="1"/>
    <col min="29" max="29" width="3.6640625" style="1" customWidth="1"/>
    <col min="30" max="30" width="44.5546875" style="1" customWidth="1"/>
    <col min="31" max="16384" width="8.77734375" style="1"/>
  </cols>
  <sheetData>
    <row r="1" spans="1:30" ht="16.5" customHeight="1" x14ac:dyDescent="0.3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</row>
    <row r="2" spans="1:30" ht="16.5" customHeight="1" x14ac:dyDescent="0.3">
      <c r="A2" s="125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2"/>
    </row>
    <row r="3" spans="1:30" ht="12.6" customHeight="1" x14ac:dyDescent="0.3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3"/>
      <c r="AC3" s="2"/>
    </row>
    <row r="4" spans="1:30" ht="29.25" customHeight="1" x14ac:dyDescent="0.25">
      <c r="A4" s="127" t="s">
        <v>2</v>
      </c>
      <c r="B4" s="120" t="s">
        <v>3</v>
      </c>
      <c r="C4" s="128" t="s">
        <v>4</v>
      </c>
      <c r="D4" s="120" t="s">
        <v>5</v>
      </c>
      <c r="E4" s="129" t="s">
        <v>6</v>
      </c>
      <c r="F4" s="121" t="s">
        <v>7</v>
      </c>
      <c r="G4" s="121" t="s">
        <v>8</v>
      </c>
      <c r="H4" s="121" t="s">
        <v>9</v>
      </c>
      <c r="I4" s="122" t="s">
        <v>10</v>
      </c>
      <c r="J4" s="123"/>
      <c r="K4" s="124"/>
      <c r="L4" s="120" t="s">
        <v>224</v>
      </c>
      <c r="M4" s="120" t="s">
        <v>12</v>
      </c>
      <c r="N4" s="120"/>
      <c r="O4" s="120"/>
      <c r="P4" s="120"/>
      <c r="Q4" s="120"/>
      <c r="R4" s="120"/>
      <c r="S4" s="120"/>
      <c r="T4" s="120"/>
      <c r="U4" s="120"/>
      <c r="V4" s="120" t="s">
        <v>13</v>
      </c>
      <c r="W4" s="120" t="s">
        <v>14</v>
      </c>
      <c r="X4" s="132" t="s">
        <v>15</v>
      </c>
      <c r="Y4" s="120" t="s">
        <v>16</v>
      </c>
      <c r="Z4" s="120" t="s">
        <v>204</v>
      </c>
      <c r="AA4" s="129" t="s">
        <v>17</v>
      </c>
      <c r="AB4" s="120" t="s">
        <v>18</v>
      </c>
      <c r="AD4" s="130" t="s">
        <v>206</v>
      </c>
    </row>
    <row r="5" spans="1:30" ht="15" customHeight="1" x14ac:dyDescent="0.25">
      <c r="A5" s="127"/>
      <c r="B5" s="120"/>
      <c r="C5" s="128"/>
      <c r="D5" s="120"/>
      <c r="E5" s="129"/>
      <c r="F5" s="121"/>
      <c r="G5" s="121"/>
      <c r="H5" s="121"/>
      <c r="I5" s="133" t="s">
        <v>19</v>
      </c>
      <c r="J5" s="133" t="s">
        <v>20</v>
      </c>
      <c r="K5" s="135" t="s">
        <v>21</v>
      </c>
      <c r="L5" s="120"/>
      <c r="M5" s="121" t="s">
        <v>22</v>
      </c>
      <c r="N5" s="121" t="s">
        <v>23</v>
      </c>
      <c r="O5" s="121" t="s">
        <v>24</v>
      </c>
      <c r="P5" s="121" t="s">
        <v>25</v>
      </c>
      <c r="Q5" s="121" t="s">
        <v>26</v>
      </c>
      <c r="R5" s="121" t="s">
        <v>27</v>
      </c>
      <c r="S5" s="121" t="s">
        <v>28</v>
      </c>
      <c r="T5" s="120" t="s">
        <v>203</v>
      </c>
      <c r="U5" s="120" t="s">
        <v>29</v>
      </c>
      <c r="V5" s="120"/>
      <c r="W5" s="120"/>
      <c r="X5" s="132"/>
      <c r="Y5" s="120"/>
      <c r="Z5" s="120"/>
      <c r="AA5" s="129"/>
      <c r="AB5" s="120"/>
      <c r="AD5" s="130"/>
    </row>
    <row r="6" spans="1:30" ht="28.05" customHeight="1" x14ac:dyDescent="0.25">
      <c r="A6" s="127"/>
      <c r="B6" s="120"/>
      <c r="C6" s="128"/>
      <c r="D6" s="120"/>
      <c r="E6" s="129"/>
      <c r="F6" s="121"/>
      <c r="G6" s="121"/>
      <c r="H6" s="121"/>
      <c r="I6" s="134"/>
      <c r="J6" s="134"/>
      <c r="K6" s="136"/>
      <c r="L6" s="120"/>
      <c r="M6" s="121"/>
      <c r="N6" s="121"/>
      <c r="O6" s="121"/>
      <c r="P6" s="121"/>
      <c r="Q6" s="121"/>
      <c r="R6" s="121"/>
      <c r="S6" s="121"/>
      <c r="T6" s="120"/>
      <c r="U6" s="120"/>
      <c r="V6" s="120"/>
      <c r="W6" s="120"/>
      <c r="X6" s="132"/>
      <c r="Y6" s="120"/>
      <c r="Z6" s="120"/>
      <c r="AA6" s="129"/>
      <c r="AB6" s="120"/>
      <c r="AD6" s="130"/>
    </row>
    <row r="7" spans="1:30" s="8" customFormat="1" ht="12.6" customHeight="1" x14ac:dyDescent="0.3">
      <c r="A7" s="78" t="s">
        <v>30</v>
      </c>
      <c r="B7" s="4" t="s">
        <v>31</v>
      </c>
      <c r="C7" s="81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5">
        <v>11</v>
      </c>
      <c r="J7" s="5">
        <v>12</v>
      </c>
      <c r="K7" s="6" t="s">
        <v>38</v>
      </c>
      <c r="L7" s="7">
        <v>14</v>
      </c>
      <c r="M7" s="7">
        <v>15</v>
      </c>
      <c r="N7" s="7">
        <v>16</v>
      </c>
      <c r="O7" s="7">
        <v>17</v>
      </c>
      <c r="P7" s="7">
        <v>18</v>
      </c>
      <c r="Q7" s="7">
        <v>19</v>
      </c>
      <c r="R7" s="7">
        <v>20</v>
      </c>
      <c r="S7" s="7">
        <v>21</v>
      </c>
      <c r="T7" s="7">
        <v>22</v>
      </c>
      <c r="U7" s="7">
        <v>23</v>
      </c>
      <c r="V7" s="7">
        <v>24</v>
      </c>
      <c r="W7" s="7">
        <v>25</v>
      </c>
      <c r="X7" s="7">
        <v>26</v>
      </c>
      <c r="Y7" s="7">
        <v>27</v>
      </c>
      <c r="Z7" s="7">
        <v>28</v>
      </c>
      <c r="AA7" s="7">
        <v>29</v>
      </c>
      <c r="AB7" s="7">
        <v>30</v>
      </c>
    </row>
    <row r="8" spans="1:30" s="17" customFormat="1" ht="52.5" customHeight="1" x14ac:dyDescent="0.3">
      <c r="A8" s="86">
        <v>1</v>
      </c>
      <c r="B8" s="91" t="s">
        <v>210</v>
      </c>
      <c r="C8" s="91" t="s">
        <v>211</v>
      </c>
      <c r="D8" s="92" t="s">
        <v>215</v>
      </c>
      <c r="E8" s="99" t="s">
        <v>226</v>
      </c>
      <c r="F8" s="99" t="s">
        <v>226</v>
      </c>
      <c r="G8" s="99" t="s">
        <v>226</v>
      </c>
      <c r="H8" s="100"/>
      <c r="I8" s="101"/>
      <c r="J8" s="100"/>
      <c r="K8" s="102"/>
      <c r="L8" s="105">
        <v>0.22</v>
      </c>
      <c r="M8" s="96"/>
      <c r="N8" s="95">
        <v>21000</v>
      </c>
      <c r="O8" s="96"/>
      <c r="P8" s="96"/>
      <c r="Q8" s="96"/>
      <c r="R8" s="96"/>
      <c r="S8" s="96"/>
      <c r="T8" s="96"/>
      <c r="U8" s="97">
        <v>559.16666666666663</v>
      </c>
      <c r="V8" s="96">
        <f>SUM(M8:S8)</f>
        <v>21000</v>
      </c>
      <c r="W8" s="103" t="s">
        <v>227</v>
      </c>
      <c r="X8" s="103" t="s">
        <v>236</v>
      </c>
      <c r="Y8" s="103"/>
      <c r="Z8" s="86"/>
      <c r="AA8" s="99"/>
      <c r="AB8" s="16" t="s">
        <v>225</v>
      </c>
    </row>
    <row r="9" spans="1:30" s="17" customFormat="1" ht="47.1" customHeight="1" x14ac:dyDescent="0.3">
      <c r="A9" s="86">
        <v>2</v>
      </c>
      <c r="B9" s="93" t="s">
        <v>78</v>
      </c>
      <c r="C9" s="93" t="s">
        <v>212</v>
      </c>
      <c r="D9" s="94" t="s">
        <v>216</v>
      </c>
      <c r="E9" s="99" t="s">
        <v>226</v>
      </c>
      <c r="F9" s="99" t="s">
        <v>226</v>
      </c>
      <c r="G9" s="99" t="s">
        <v>226</v>
      </c>
      <c r="H9" s="101"/>
      <c r="I9" s="101"/>
      <c r="J9" s="101"/>
      <c r="K9" s="102"/>
      <c r="L9" s="106">
        <v>0.09</v>
      </c>
      <c r="M9" s="96"/>
      <c r="N9" s="95">
        <v>7500</v>
      </c>
      <c r="O9" s="96"/>
      <c r="P9" s="96"/>
      <c r="Q9" s="96"/>
      <c r="R9" s="96"/>
      <c r="S9" s="96"/>
      <c r="T9" s="96"/>
      <c r="U9" s="97">
        <v>68.766666666666666</v>
      </c>
      <c r="V9" s="96">
        <f t="shared" ref="V9:V15" si="0">SUM(M9:S9)</f>
        <v>7500</v>
      </c>
      <c r="W9" s="103" t="s">
        <v>228</v>
      </c>
      <c r="X9" s="103" t="s">
        <v>237</v>
      </c>
      <c r="Y9" s="103"/>
      <c r="Z9" s="86"/>
      <c r="AA9" s="99"/>
      <c r="AB9" s="16" t="s">
        <v>225</v>
      </c>
    </row>
    <row r="10" spans="1:30" s="17" customFormat="1" ht="47.1" customHeight="1" x14ac:dyDescent="0.3">
      <c r="A10" s="86">
        <v>3</v>
      </c>
      <c r="B10" s="92" t="s">
        <v>78</v>
      </c>
      <c r="C10" s="92" t="s">
        <v>212</v>
      </c>
      <c r="D10" s="92" t="s">
        <v>217</v>
      </c>
      <c r="E10" s="99" t="s">
        <v>226</v>
      </c>
      <c r="F10" s="99" t="s">
        <v>226</v>
      </c>
      <c r="G10" s="99" t="s">
        <v>226</v>
      </c>
      <c r="H10" s="101"/>
      <c r="I10" s="86"/>
      <c r="J10" s="101"/>
      <c r="K10" s="102"/>
      <c r="L10" s="105">
        <v>0.85</v>
      </c>
      <c r="M10" s="96"/>
      <c r="N10" s="95">
        <v>84000</v>
      </c>
      <c r="O10" s="96"/>
      <c r="P10" s="96"/>
      <c r="Q10" s="96"/>
      <c r="R10" s="96"/>
      <c r="S10" s="96"/>
      <c r="T10" s="96"/>
      <c r="U10" s="97">
        <v>2186.6666666666665</v>
      </c>
      <c r="V10" s="96">
        <f t="shared" si="0"/>
        <v>84000</v>
      </c>
      <c r="W10" s="103" t="s">
        <v>229</v>
      </c>
      <c r="X10" s="103" t="s">
        <v>238</v>
      </c>
      <c r="Y10" s="103"/>
      <c r="Z10" s="86"/>
      <c r="AA10" s="107"/>
      <c r="AB10" s="16" t="s">
        <v>225</v>
      </c>
    </row>
    <row r="11" spans="1:30" s="17" customFormat="1" ht="47.1" customHeight="1" x14ac:dyDescent="0.3">
      <c r="A11" s="86">
        <v>4</v>
      </c>
      <c r="B11" s="94" t="s">
        <v>78</v>
      </c>
      <c r="C11" s="94" t="s">
        <v>212</v>
      </c>
      <c r="D11" s="94" t="s">
        <v>218</v>
      </c>
      <c r="E11" s="99" t="s">
        <v>226</v>
      </c>
      <c r="F11" s="99" t="s">
        <v>226</v>
      </c>
      <c r="G11" s="99" t="s">
        <v>226</v>
      </c>
      <c r="H11" s="101"/>
      <c r="I11" s="101"/>
      <c r="J11" s="101"/>
      <c r="K11" s="102"/>
      <c r="L11" s="106">
        <v>0.09</v>
      </c>
      <c r="M11" s="96"/>
      <c r="N11" s="95">
        <v>7500</v>
      </c>
      <c r="O11" s="96"/>
      <c r="P11" s="96"/>
      <c r="Q11" s="96"/>
      <c r="R11" s="96"/>
      <c r="S11" s="96"/>
      <c r="T11" s="96"/>
      <c r="U11" s="97">
        <v>68.766666666666666</v>
      </c>
      <c r="V11" s="96">
        <f t="shared" si="0"/>
        <v>7500</v>
      </c>
      <c r="W11" s="103" t="s">
        <v>230</v>
      </c>
      <c r="X11" s="103" t="s">
        <v>239</v>
      </c>
      <c r="Y11" s="103"/>
      <c r="Z11" s="86"/>
      <c r="AA11" s="107"/>
      <c r="AB11" s="16" t="s">
        <v>225</v>
      </c>
    </row>
    <row r="12" spans="1:30" s="17" customFormat="1" ht="47.1" customHeight="1" x14ac:dyDescent="0.3">
      <c r="A12" s="86">
        <v>5</v>
      </c>
      <c r="B12" s="92" t="s">
        <v>78</v>
      </c>
      <c r="C12" s="92" t="s">
        <v>212</v>
      </c>
      <c r="D12" s="92" t="s">
        <v>219</v>
      </c>
      <c r="E12" s="99" t="s">
        <v>226</v>
      </c>
      <c r="F12" s="99" t="s">
        <v>226</v>
      </c>
      <c r="G12" s="99" t="s">
        <v>226</v>
      </c>
      <c r="H12" s="101"/>
      <c r="I12" s="101"/>
      <c r="J12" s="101"/>
      <c r="K12" s="102"/>
      <c r="L12" s="105">
        <v>0.09</v>
      </c>
      <c r="M12" s="96"/>
      <c r="N12" s="95">
        <v>7500</v>
      </c>
      <c r="O12" s="96"/>
      <c r="P12" s="96"/>
      <c r="Q12" s="96"/>
      <c r="R12" s="96"/>
      <c r="S12" s="96"/>
      <c r="T12" s="96"/>
      <c r="U12" s="97">
        <v>68.766666666666666</v>
      </c>
      <c r="V12" s="96">
        <f t="shared" si="0"/>
        <v>7500</v>
      </c>
      <c r="W12" s="103" t="s">
        <v>231</v>
      </c>
      <c r="X12" s="103" t="s">
        <v>240</v>
      </c>
      <c r="Y12" s="103"/>
      <c r="Z12" s="86"/>
      <c r="AA12" s="107"/>
      <c r="AB12" s="16" t="s">
        <v>225</v>
      </c>
    </row>
    <row r="13" spans="1:30" s="17" customFormat="1" ht="47.1" customHeight="1" x14ac:dyDescent="0.3">
      <c r="A13" s="86">
        <v>6</v>
      </c>
      <c r="B13" s="94" t="s">
        <v>78</v>
      </c>
      <c r="C13" s="94" t="s">
        <v>212</v>
      </c>
      <c r="D13" s="94" t="s">
        <v>220</v>
      </c>
      <c r="E13" s="99" t="s">
        <v>226</v>
      </c>
      <c r="F13" s="99" t="s">
        <v>226</v>
      </c>
      <c r="G13" s="99" t="s">
        <v>226</v>
      </c>
      <c r="H13" s="101"/>
      <c r="I13" s="101"/>
      <c r="J13" s="101"/>
      <c r="K13" s="102"/>
      <c r="L13" s="106">
        <v>0.08</v>
      </c>
      <c r="M13" s="96"/>
      <c r="N13" s="95">
        <v>7000</v>
      </c>
      <c r="O13" s="96"/>
      <c r="P13" s="96"/>
      <c r="Q13" s="96"/>
      <c r="R13" s="96"/>
      <c r="S13" s="96"/>
      <c r="T13" s="96"/>
      <c r="U13" s="97">
        <v>64.166666666666671</v>
      </c>
      <c r="V13" s="96">
        <f t="shared" si="0"/>
        <v>7000</v>
      </c>
      <c r="W13" s="103" t="s">
        <v>232</v>
      </c>
      <c r="X13" s="103" t="s">
        <v>241</v>
      </c>
      <c r="Y13" s="103"/>
      <c r="Z13" s="86"/>
      <c r="AA13" s="107"/>
      <c r="AB13" s="16" t="s">
        <v>225</v>
      </c>
    </row>
    <row r="14" spans="1:30" s="29" customFormat="1" ht="47.1" customHeight="1" x14ac:dyDescent="0.3">
      <c r="A14" s="86">
        <v>7</v>
      </c>
      <c r="B14" s="92" t="s">
        <v>78</v>
      </c>
      <c r="C14" s="92" t="s">
        <v>213</v>
      </c>
      <c r="D14" s="92" t="s">
        <v>221</v>
      </c>
      <c r="E14" s="99" t="s">
        <v>226</v>
      </c>
      <c r="F14" s="99" t="s">
        <v>226</v>
      </c>
      <c r="G14" s="99" t="s">
        <v>226</v>
      </c>
      <c r="H14" s="101"/>
      <c r="I14" s="101"/>
      <c r="J14" s="101"/>
      <c r="K14" s="102"/>
      <c r="L14" s="105">
        <v>0.5</v>
      </c>
      <c r="M14" s="96"/>
      <c r="N14" s="95">
        <v>54009</v>
      </c>
      <c r="O14" s="96"/>
      <c r="P14" s="96"/>
      <c r="Q14" s="96"/>
      <c r="R14" s="96"/>
      <c r="S14" s="96"/>
      <c r="T14" s="96"/>
      <c r="U14" s="97">
        <v>495.06666666666666</v>
      </c>
      <c r="V14" s="96">
        <f t="shared" si="0"/>
        <v>54009</v>
      </c>
      <c r="W14" s="103" t="s">
        <v>233</v>
      </c>
      <c r="X14" s="103" t="s">
        <v>242</v>
      </c>
      <c r="Y14" s="103"/>
      <c r="Z14" s="86"/>
      <c r="AA14" s="108"/>
      <c r="AB14" s="16" t="s">
        <v>225</v>
      </c>
    </row>
    <row r="15" spans="1:30" s="29" customFormat="1" ht="47.1" customHeight="1" x14ac:dyDescent="0.3">
      <c r="A15" s="86">
        <v>8</v>
      </c>
      <c r="B15" s="94" t="s">
        <v>69</v>
      </c>
      <c r="C15" s="94" t="s">
        <v>214</v>
      </c>
      <c r="D15" s="94" t="s">
        <v>222</v>
      </c>
      <c r="E15" s="99" t="s">
        <v>226</v>
      </c>
      <c r="F15" s="99" t="s">
        <v>226</v>
      </c>
      <c r="G15" s="99" t="s">
        <v>226</v>
      </c>
      <c r="H15" s="101"/>
      <c r="I15" s="101"/>
      <c r="J15" s="101"/>
      <c r="K15" s="102"/>
      <c r="L15" s="106">
        <v>0.36</v>
      </c>
      <c r="M15" s="96"/>
      <c r="N15" s="95">
        <v>35000</v>
      </c>
      <c r="O15" s="96"/>
      <c r="P15" s="96"/>
      <c r="Q15" s="96"/>
      <c r="R15" s="96"/>
      <c r="S15" s="96"/>
      <c r="T15" s="96"/>
      <c r="U15" s="97">
        <v>320.83333333333331</v>
      </c>
      <c r="V15" s="96">
        <f t="shared" si="0"/>
        <v>35000</v>
      </c>
      <c r="W15" s="103" t="s">
        <v>234</v>
      </c>
      <c r="X15" s="103" t="s">
        <v>243</v>
      </c>
      <c r="Y15" s="103"/>
      <c r="Z15" s="86"/>
      <c r="AA15" s="99"/>
      <c r="AB15" s="16" t="s">
        <v>225</v>
      </c>
    </row>
    <row r="16" spans="1:30" s="36" customFormat="1" ht="48" customHeight="1" x14ac:dyDescent="0.3">
      <c r="A16" s="86">
        <v>9</v>
      </c>
      <c r="B16" s="92" t="s">
        <v>78</v>
      </c>
      <c r="C16" s="92" t="s">
        <v>212</v>
      </c>
      <c r="D16" s="92" t="s">
        <v>223</v>
      </c>
      <c r="E16" s="99" t="s">
        <v>226</v>
      </c>
      <c r="F16" s="99" t="s">
        <v>226</v>
      </c>
      <c r="G16" s="99" t="s">
        <v>226</v>
      </c>
      <c r="H16" s="101"/>
      <c r="I16" s="101"/>
      <c r="J16" s="101"/>
      <c r="K16" s="102"/>
      <c r="L16" s="105">
        <v>0.2</v>
      </c>
      <c r="M16" s="96"/>
      <c r="N16" s="95">
        <v>19000</v>
      </c>
      <c r="O16" s="96"/>
      <c r="P16" s="96"/>
      <c r="Q16" s="96"/>
      <c r="R16" s="96"/>
      <c r="S16" s="96"/>
      <c r="T16" s="96"/>
      <c r="U16" s="97">
        <v>507.5</v>
      </c>
      <c r="V16" s="96">
        <f>SUM(M16:S16)</f>
        <v>19000</v>
      </c>
      <c r="W16" s="103" t="s">
        <v>235</v>
      </c>
      <c r="X16" s="103" t="s">
        <v>244</v>
      </c>
      <c r="Y16" s="103"/>
      <c r="Z16" s="109"/>
      <c r="AA16" s="99"/>
      <c r="AB16" s="16" t="s">
        <v>225</v>
      </c>
      <c r="AD16" s="31"/>
    </row>
    <row r="17" spans="1:32" s="17" customFormat="1" ht="47.1" customHeight="1" x14ac:dyDescent="0.3">
      <c r="A17" s="86"/>
      <c r="B17" s="104"/>
      <c r="C17" s="104"/>
      <c r="D17" s="104"/>
      <c r="E17" s="99"/>
      <c r="F17" s="99"/>
      <c r="G17" s="110"/>
      <c r="H17" s="101"/>
      <c r="I17" s="101"/>
      <c r="J17" s="101"/>
      <c r="K17" s="102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103"/>
      <c r="X17" s="103"/>
      <c r="Y17" s="103"/>
      <c r="Z17" s="86"/>
      <c r="AA17" s="99"/>
      <c r="AB17" s="16" t="s">
        <v>225</v>
      </c>
    </row>
    <row r="18" spans="1:32" s="43" customFormat="1" ht="16.5" customHeight="1" x14ac:dyDescent="0.25">
      <c r="A18" s="80"/>
      <c r="B18" s="131" t="s">
        <v>98</v>
      </c>
      <c r="C18" s="131"/>
      <c r="D18" s="131"/>
      <c r="E18" s="40"/>
      <c r="F18" s="40"/>
      <c r="G18" s="41"/>
      <c r="H18" s="42">
        <f t="shared" ref="H18:S18" si="1">SUM(H8:H17)</f>
        <v>0</v>
      </c>
      <c r="I18" s="42">
        <f t="shared" si="1"/>
        <v>0</v>
      </c>
      <c r="J18" s="42">
        <f t="shared" si="1"/>
        <v>0</v>
      </c>
      <c r="K18" s="42">
        <f t="shared" si="1"/>
        <v>0</v>
      </c>
      <c r="L18" s="42">
        <f t="shared" si="1"/>
        <v>2.4800000000000004</v>
      </c>
      <c r="M18" s="42">
        <f t="shared" si="1"/>
        <v>0</v>
      </c>
      <c r="N18" s="42">
        <f t="shared" si="1"/>
        <v>242509</v>
      </c>
      <c r="O18" s="42">
        <f t="shared" si="1"/>
        <v>0</v>
      </c>
      <c r="P18" s="42">
        <f t="shared" si="1"/>
        <v>0</v>
      </c>
      <c r="Q18" s="42">
        <f t="shared" si="1"/>
        <v>0</v>
      </c>
      <c r="R18" s="42">
        <f t="shared" si="1"/>
        <v>0</v>
      </c>
      <c r="S18" s="42">
        <f t="shared" si="1"/>
        <v>0</v>
      </c>
      <c r="T18" s="42"/>
      <c r="U18" s="42">
        <f>SUM(U8:U17)</f>
        <v>4339.7000000000007</v>
      </c>
      <c r="V18" s="42">
        <f>SUM(V8:V17)</f>
        <v>242509</v>
      </c>
      <c r="W18" s="40"/>
      <c r="X18" s="40"/>
      <c r="Y18" s="40"/>
      <c r="Z18" s="40"/>
      <c r="AA18" s="131"/>
      <c r="AB18" s="131"/>
      <c r="AC18" s="1"/>
    </row>
    <row r="19" spans="1:32" s="43" customFormat="1" ht="15" customHeight="1" x14ac:dyDescent="0.25">
      <c r="A19" s="1"/>
      <c r="B19" s="83"/>
      <c r="C19" s="44"/>
      <c r="D19" s="45"/>
      <c r="E19" s="46"/>
      <c r="F19" s="46"/>
      <c r="G19" s="47"/>
      <c r="H19" s="47"/>
      <c r="I19" s="47"/>
      <c r="J19" s="47"/>
      <c r="K19" s="4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32" s="49" customFormat="1" ht="15" customHeight="1" x14ac:dyDescent="0.25">
      <c r="A20" s="48"/>
      <c r="C20" s="50"/>
      <c r="E20" s="51"/>
      <c r="F20" s="52"/>
      <c r="G20" s="52"/>
      <c r="H20" s="52"/>
      <c r="I20" s="52"/>
      <c r="J20" s="53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 t="s">
        <v>99</v>
      </c>
      <c r="V20" s="52"/>
      <c r="W20" s="52" t="s">
        <v>100</v>
      </c>
      <c r="Z20" s="54"/>
      <c r="AA20" s="54"/>
      <c r="AB20" s="54"/>
      <c r="AC20" s="54"/>
      <c r="AD20" s="48"/>
      <c r="AE20" s="48"/>
      <c r="AF20" s="48"/>
    </row>
    <row r="21" spans="1:32" s="49" customFormat="1" ht="15" customHeight="1" x14ac:dyDescent="0.25">
      <c r="A21" s="48"/>
      <c r="B21" s="55" t="s">
        <v>101</v>
      </c>
      <c r="C21" s="56"/>
      <c r="D21" s="55"/>
      <c r="F21" s="57" t="s">
        <v>102</v>
      </c>
      <c r="G21" s="58"/>
      <c r="H21" s="52"/>
      <c r="I21" s="52"/>
      <c r="J21" s="59">
        <f>M18</f>
        <v>0</v>
      </c>
      <c r="K21" s="52"/>
      <c r="L21" s="52"/>
      <c r="M21" s="60" t="s">
        <v>103</v>
      </c>
      <c r="O21" s="52"/>
      <c r="P21" s="52"/>
      <c r="Q21" s="52"/>
      <c r="R21" s="52"/>
      <c r="S21" s="52"/>
      <c r="T21" s="52"/>
      <c r="U21" s="61">
        <f>J21*80%/3</f>
        <v>0</v>
      </c>
      <c r="V21" s="61"/>
      <c r="W21" s="61">
        <f>J21*70%/3</f>
        <v>0</v>
      </c>
      <c r="Z21" s="54"/>
      <c r="AA21" s="54"/>
      <c r="AB21" s="54"/>
      <c r="AC21" s="54"/>
      <c r="AD21" s="48"/>
      <c r="AE21" s="48"/>
      <c r="AF21" s="48"/>
    </row>
    <row r="22" spans="1:32" s="49" customFormat="1" ht="15" customHeight="1" x14ac:dyDescent="0.25">
      <c r="A22" s="48"/>
      <c r="B22" s="55" t="s">
        <v>104</v>
      </c>
      <c r="C22" s="56"/>
      <c r="D22" s="55"/>
      <c r="F22" s="57" t="s">
        <v>105</v>
      </c>
      <c r="G22" s="58"/>
      <c r="H22" s="58"/>
      <c r="I22" s="58"/>
      <c r="J22" s="59">
        <f>N18</f>
        <v>242509</v>
      </c>
      <c r="K22" s="58"/>
      <c r="L22" s="52"/>
      <c r="M22" s="60" t="s">
        <v>106</v>
      </c>
      <c r="O22" s="52"/>
      <c r="P22" s="52"/>
      <c r="Q22" s="52"/>
      <c r="R22" s="52"/>
      <c r="S22" s="52"/>
      <c r="T22" s="52"/>
      <c r="U22" s="61">
        <f>J22*80%/3</f>
        <v>64669.066666666673</v>
      </c>
      <c r="V22" s="61"/>
      <c r="W22" s="61">
        <f>J22*70%/3</f>
        <v>56585.433333333327</v>
      </c>
      <c r="Z22" s="54"/>
      <c r="AA22" s="54"/>
      <c r="AB22" s="54"/>
      <c r="AC22" s="54"/>
      <c r="AD22" s="48"/>
      <c r="AE22" s="48"/>
      <c r="AF22" s="48"/>
    </row>
    <row r="23" spans="1:32" s="49" customFormat="1" ht="15" customHeight="1" x14ac:dyDescent="0.25">
      <c r="A23" s="48"/>
      <c r="B23" s="55" t="s">
        <v>107</v>
      </c>
      <c r="C23" s="56"/>
      <c r="D23" s="55"/>
      <c r="F23" s="57" t="s">
        <v>108</v>
      </c>
      <c r="G23" s="58"/>
      <c r="H23" s="58"/>
      <c r="I23" s="58"/>
      <c r="J23" s="59">
        <f>O18</f>
        <v>0</v>
      </c>
      <c r="K23" s="58"/>
      <c r="L23" s="52"/>
      <c r="M23" s="60" t="s">
        <v>109</v>
      </c>
      <c r="O23" s="52"/>
      <c r="P23" s="52"/>
      <c r="Q23" s="52"/>
      <c r="R23" s="52"/>
      <c r="S23" s="52"/>
      <c r="T23" s="52"/>
      <c r="U23" s="61">
        <f>J23*80%/10</f>
        <v>0</v>
      </c>
      <c r="V23" s="61"/>
      <c r="W23" s="61">
        <f>J23*70%/10</f>
        <v>0</v>
      </c>
      <c r="Z23" s="54"/>
      <c r="AA23" s="54"/>
      <c r="AB23" s="54"/>
      <c r="AC23" s="54"/>
      <c r="AD23" s="48"/>
      <c r="AE23" s="48"/>
      <c r="AF23" s="48"/>
    </row>
    <row r="24" spans="1:32" s="49" customFormat="1" ht="15" customHeight="1" x14ac:dyDescent="0.25">
      <c r="A24" s="48"/>
      <c r="B24" s="84" t="s">
        <v>110</v>
      </c>
      <c r="C24" s="62"/>
      <c r="D24" s="63"/>
      <c r="F24" s="57" t="s">
        <v>111</v>
      </c>
      <c r="G24" s="64"/>
      <c r="H24" s="64"/>
      <c r="I24" s="64"/>
      <c r="J24" s="59">
        <f>U18</f>
        <v>4339.7000000000007</v>
      </c>
      <c r="K24" s="64"/>
      <c r="L24" s="58">
        <f>J24*30</f>
        <v>130191.00000000003</v>
      </c>
      <c r="M24" s="58">
        <f>L24/1000</f>
        <v>130.19100000000003</v>
      </c>
      <c r="O24" s="52"/>
      <c r="P24" s="52"/>
      <c r="Q24" s="52"/>
      <c r="R24" s="52"/>
      <c r="S24" s="52"/>
      <c r="T24" s="52"/>
      <c r="U24" s="65">
        <f>SUM(U21:U23)</f>
        <v>64669.066666666673</v>
      </c>
      <c r="V24" s="65"/>
      <c r="W24" s="65">
        <f>SUM(W21:W23)</f>
        <v>56585.433333333327</v>
      </c>
      <c r="Z24" s="54"/>
      <c r="AA24" s="54"/>
      <c r="AB24" s="54"/>
      <c r="AC24" s="54"/>
      <c r="AD24" s="48"/>
      <c r="AE24" s="48"/>
      <c r="AF24" s="48"/>
    </row>
    <row r="25" spans="1:32" s="43" customFormat="1" ht="14.55" customHeight="1" x14ac:dyDescent="0.25">
      <c r="A25" s="1"/>
      <c r="B25" s="85"/>
      <c r="C25" s="66"/>
      <c r="D25" s="67"/>
      <c r="E25" s="68"/>
      <c r="F25" s="68"/>
      <c r="G25" s="47"/>
      <c r="H25" s="47"/>
      <c r="I25" s="47"/>
      <c r="J25" s="47"/>
      <c r="K25" s="4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32" s="43" customFormat="1" ht="11.25" customHeight="1" x14ac:dyDescent="0.25">
      <c r="A26" s="1"/>
      <c r="B26" s="85"/>
      <c r="C26" s="66"/>
      <c r="D26" s="67"/>
      <c r="E26" s="68"/>
      <c r="F26" s="68"/>
      <c r="G26" s="47"/>
      <c r="H26" s="47"/>
      <c r="I26" s="47"/>
      <c r="J26" s="47"/>
      <c r="K26" s="4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32" s="43" customFormat="1" ht="11.25" customHeight="1" x14ac:dyDescent="0.25">
      <c r="A27" s="1"/>
      <c r="B27" s="83"/>
      <c r="C27" s="44"/>
      <c r="D27" s="45"/>
      <c r="E27" s="46"/>
      <c r="F27" s="46"/>
      <c r="G27" s="47"/>
      <c r="H27" s="47"/>
      <c r="I27" s="47"/>
      <c r="J27" s="47"/>
      <c r="K27" s="4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48" spans="1:29" s="43" customFormat="1" ht="11.25" customHeight="1" x14ac:dyDescent="0.25">
      <c r="A48" s="1"/>
      <c r="B48" s="3"/>
      <c r="D48" s="69"/>
      <c r="E48" s="1"/>
      <c r="F48" s="1"/>
      <c r="G48" s="70"/>
      <c r="H48" s="70"/>
      <c r="I48" s="70"/>
      <c r="J48" s="70"/>
      <c r="K48" s="7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s="43" customFormat="1" ht="11.25" customHeight="1" x14ac:dyDescent="0.25">
      <c r="A49" s="1"/>
      <c r="B49" s="3"/>
      <c r="D49" s="69"/>
      <c r="E49" s="1"/>
      <c r="F49" s="1"/>
      <c r="G49" s="70"/>
      <c r="H49" s="70"/>
      <c r="I49" s="70"/>
      <c r="J49" s="70"/>
      <c r="K49" s="7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s="43" customFormat="1" ht="11.25" customHeight="1" x14ac:dyDescent="0.25">
      <c r="A50" s="1"/>
      <c r="B50" s="3"/>
      <c r="D50" s="69"/>
      <c r="E50" s="1"/>
      <c r="F50" s="1"/>
      <c r="G50" s="70"/>
      <c r="H50" s="70"/>
      <c r="I50" s="70"/>
      <c r="J50" s="70"/>
      <c r="K50" s="7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s="43" customFormat="1" ht="11.25" customHeight="1" x14ac:dyDescent="0.25">
      <c r="A51" s="1"/>
      <c r="B51" s="3"/>
      <c r="D51" s="69"/>
      <c r="E51" s="1"/>
      <c r="F51" s="1"/>
      <c r="G51" s="70"/>
      <c r="H51" s="70"/>
      <c r="I51" s="70"/>
      <c r="J51" s="70"/>
      <c r="K51" s="7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s="43" customFormat="1" ht="11.25" customHeight="1" x14ac:dyDescent="0.25">
      <c r="A52" s="1"/>
      <c r="B52" s="3"/>
      <c r="D52" s="69"/>
      <c r="E52" s="1"/>
      <c r="F52" s="1"/>
      <c r="G52" s="70"/>
      <c r="H52" s="70"/>
      <c r="I52" s="70"/>
      <c r="J52" s="70"/>
      <c r="K52" s="7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s="43" customFormat="1" ht="11.25" customHeight="1" x14ac:dyDescent="0.25">
      <c r="A53" s="1"/>
      <c r="B53" s="3"/>
      <c r="D53" s="69"/>
      <c r="E53" s="1"/>
      <c r="F53" s="1"/>
      <c r="G53" s="70"/>
      <c r="H53" s="70"/>
      <c r="I53" s="70"/>
      <c r="J53" s="70"/>
      <c r="K53" s="7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s="43" customFormat="1" ht="11.25" customHeight="1" x14ac:dyDescent="0.25">
      <c r="A54" s="1"/>
      <c r="B54" s="3"/>
      <c r="D54" s="69"/>
      <c r="E54" s="1"/>
      <c r="F54" s="1"/>
      <c r="G54" s="70"/>
      <c r="H54" s="70"/>
      <c r="I54" s="70"/>
      <c r="J54" s="70"/>
      <c r="K54" s="7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s="43" customFormat="1" ht="11.25" customHeight="1" x14ac:dyDescent="0.25">
      <c r="A55" s="1"/>
      <c r="B55" s="3"/>
      <c r="D55" s="69"/>
      <c r="E55" s="1"/>
      <c r="F55" s="1"/>
      <c r="G55" s="70"/>
      <c r="H55" s="70"/>
      <c r="I55" s="70"/>
      <c r="J55" s="70"/>
      <c r="K55" s="7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s="43" customFormat="1" ht="11.25" customHeight="1" x14ac:dyDescent="0.25">
      <c r="A56" s="1"/>
      <c r="B56" s="3"/>
      <c r="D56" s="69"/>
      <c r="E56" s="1"/>
      <c r="F56" s="1"/>
      <c r="G56" s="70"/>
      <c r="H56" s="70"/>
      <c r="I56" s="70"/>
      <c r="J56" s="70"/>
      <c r="K56" s="7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s="43" customFormat="1" ht="11.25" customHeight="1" x14ac:dyDescent="0.25">
      <c r="A57" s="1"/>
      <c r="B57" s="3"/>
      <c r="D57" s="69"/>
      <c r="E57" s="1"/>
      <c r="F57" s="1"/>
      <c r="G57" s="70"/>
      <c r="H57" s="70"/>
      <c r="I57" s="70"/>
      <c r="J57" s="70"/>
      <c r="K57" s="7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s="43" customFormat="1" ht="11.25" customHeight="1" x14ac:dyDescent="0.25">
      <c r="A58" s="1"/>
      <c r="B58" s="3"/>
      <c r="D58" s="69"/>
      <c r="E58" s="1"/>
      <c r="F58" s="1"/>
      <c r="G58" s="70"/>
      <c r="H58" s="70"/>
      <c r="I58" s="70"/>
      <c r="J58" s="70"/>
      <c r="K58" s="7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s="43" customFormat="1" ht="11.25" customHeight="1" x14ac:dyDescent="0.25">
      <c r="A59" s="1"/>
      <c r="B59" s="3"/>
      <c r="D59" s="69"/>
      <c r="E59" s="1"/>
      <c r="F59" s="1"/>
      <c r="G59" s="70"/>
      <c r="H59" s="70"/>
      <c r="I59" s="70"/>
      <c r="J59" s="70"/>
      <c r="K59" s="7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s="43" customFormat="1" ht="11.25" customHeight="1" x14ac:dyDescent="0.25">
      <c r="A60" s="1"/>
      <c r="B60" s="3"/>
      <c r="D60" s="69"/>
      <c r="E60" s="1"/>
      <c r="F60" s="1"/>
      <c r="G60" s="70"/>
      <c r="H60" s="70"/>
      <c r="I60" s="70"/>
      <c r="J60" s="70"/>
      <c r="K60" s="7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s="43" customFormat="1" ht="11.25" customHeight="1" x14ac:dyDescent="0.25">
      <c r="A61" s="1"/>
      <c r="B61" s="3"/>
      <c r="D61" s="69"/>
      <c r="E61" s="1"/>
      <c r="F61" s="1"/>
      <c r="G61" s="70"/>
      <c r="H61" s="70"/>
      <c r="I61" s="70"/>
      <c r="J61" s="70"/>
      <c r="K61" s="7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s="43" customFormat="1" ht="11.25" customHeight="1" x14ac:dyDescent="0.25">
      <c r="A62" s="1"/>
      <c r="B62" s="3"/>
      <c r="D62" s="69"/>
      <c r="E62" s="1"/>
      <c r="F62" s="1"/>
      <c r="G62" s="70"/>
      <c r="H62" s="70"/>
      <c r="I62" s="70"/>
      <c r="J62" s="70"/>
      <c r="K62" s="7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s="43" customFormat="1" ht="11.25" customHeight="1" x14ac:dyDescent="0.25">
      <c r="A63" s="1"/>
      <c r="B63" s="3"/>
      <c r="D63" s="69"/>
      <c r="E63" s="1"/>
      <c r="F63" s="1"/>
      <c r="G63" s="70"/>
      <c r="H63" s="70"/>
      <c r="I63" s="70"/>
      <c r="J63" s="70"/>
      <c r="K63" s="7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s="43" customFormat="1" ht="11.25" customHeight="1" x14ac:dyDescent="0.25">
      <c r="A64" s="1"/>
      <c r="B64" s="3"/>
      <c r="D64" s="69"/>
      <c r="E64" s="1"/>
      <c r="F64" s="1"/>
      <c r="G64" s="70"/>
      <c r="H64" s="70"/>
      <c r="I64" s="70"/>
      <c r="J64" s="70"/>
      <c r="K64" s="7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s="43" customFormat="1" ht="11.25" customHeight="1" x14ac:dyDescent="0.25">
      <c r="A65" s="1"/>
      <c r="B65" s="3"/>
      <c r="D65" s="69"/>
      <c r="E65" s="1"/>
      <c r="F65" s="1"/>
      <c r="G65" s="70"/>
      <c r="H65" s="70"/>
      <c r="I65" s="70"/>
      <c r="J65" s="70"/>
      <c r="K65" s="7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s="43" customFormat="1" ht="11.25" customHeight="1" x14ac:dyDescent="0.25">
      <c r="A66" s="1"/>
      <c r="B66" s="3"/>
      <c r="D66" s="69"/>
      <c r="E66" s="1"/>
      <c r="F66" s="1"/>
      <c r="G66" s="70"/>
      <c r="H66" s="70"/>
      <c r="I66" s="70"/>
      <c r="J66" s="70"/>
      <c r="K66" s="7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s="43" customFormat="1" ht="11.25" customHeight="1" x14ac:dyDescent="0.25">
      <c r="A67" s="1"/>
      <c r="B67" s="3"/>
      <c r="D67" s="69"/>
      <c r="E67" s="1"/>
      <c r="F67" s="1"/>
      <c r="G67" s="70"/>
      <c r="H67" s="70"/>
      <c r="I67" s="70"/>
      <c r="J67" s="70"/>
      <c r="K67" s="7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s="43" customFormat="1" ht="11.25" customHeight="1" x14ac:dyDescent="0.25">
      <c r="A68" s="1"/>
      <c r="B68" s="3"/>
      <c r="D68" s="69"/>
      <c r="E68" s="1"/>
      <c r="F68" s="1"/>
      <c r="G68" s="70"/>
      <c r="H68" s="70"/>
      <c r="I68" s="70"/>
      <c r="J68" s="70"/>
      <c r="K68" s="7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s="43" customFormat="1" ht="11.25" customHeight="1" x14ac:dyDescent="0.25">
      <c r="A69" s="1"/>
      <c r="B69" s="3"/>
      <c r="D69" s="69"/>
      <c r="E69" s="1"/>
      <c r="F69" s="1"/>
      <c r="G69" s="70"/>
      <c r="H69" s="70"/>
      <c r="I69" s="70"/>
      <c r="J69" s="70"/>
      <c r="K69" s="7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s="43" customFormat="1" ht="11.25" customHeight="1" x14ac:dyDescent="0.25">
      <c r="A70" s="1"/>
      <c r="B70" s="3"/>
      <c r="D70" s="69"/>
      <c r="E70" s="1"/>
      <c r="F70" s="1"/>
      <c r="G70" s="70"/>
      <c r="H70" s="70"/>
      <c r="I70" s="70"/>
      <c r="J70" s="70"/>
      <c r="K70" s="7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s="43" customFormat="1" ht="11.25" customHeight="1" x14ac:dyDescent="0.25">
      <c r="A71" s="1"/>
      <c r="B71" s="3"/>
      <c r="D71" s="69"/>
      <c r="E71" s="1"/>
      <c r="F71" s="1"/>
      <c r="G71" s="70"/>
      <c r="H71" s="70"/>
      <c r="I71" s="70"/>
      <c r="J71" s="70"/>
      <c r="K71" s="7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s="43" customFormat="1" ht="11.25" customHeight="1" x14ac:dyDescent="0.25">
      <c r="A72" s="1"/>
      <c r="B72" s="3"/>
      <c r="D72" s="69"/>
      <c r="E72" s="1"/>
      <c r="F72" s="1"/>
      <c r="G72" s="70"/>
      <c r="H72" s="70"/>
      <c r="I72" s="70"/>
      <c r="J72" s="70"/>
      <c r="K72" s="7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s="43" customFormat="1" ht="11.25" customHeight="1" x14ac:dyDescent="0.25">
      <c r="A73" s="1"/>
      <c r="B73" s="3"/>
      <c r="D73" s="69"/>
      <c r="E73" s="1"/>
      <c r="F73" s="1"/>
      <c r="G73" s="70"/>
      <c r="H73" s="70"/>
      <c r="I73" s="70"/>
      <c r="J73" s="70"/>
      <c r="K73" s="7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s="43" customFormat="1" ht="11.25" customHeight="1" x14ac:dyDescent="0.25">
      <c r="A74" s="1"/>
      <c r="B74" s="3"/>
      <c r="D74" s="69"/>
      <c r="E74" s="1"/>
      <c r="F74" s="1"/>
      <c r="G74" s="70"/>
      <c r="H74" s="70"/>
      <c r="I74" s="70"/>
      <c r="J74" s="70"/>
      <c r="K74" s="7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s="43" customFormat="1" ht="11.25" customHeight="1" x14ac:dyDescent="0.25">
      <c r="A75" s="1"/>
      <c r="B75" s="3"/>
      <c r="D75" s="69"/>
      <c r="E75" s="1"/>
      <c r="F75" s="1"/>
      <c r="G75" s="70"/>
      <c r="H75" s="70"/>
      <c r="I75" s="70"/>
      <c r="J75" s="70"/>
      <c r="K75" s="7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s="43" customFormat="1" ht="11.25" customHeight="1" x14ac:dyDescent="0.25">
      <c r="A76" s="1"/>
      <c r="B76" s="3"/>
      <c r="D76" s="69"/>
      <c r="E76" s="1"/>
      <c r="F76" s="1"/>
      <c r="G76" s="70"/>
      <c r="H76" s="70"/>
      <c r="I76" s="70"/>
      <c r="J76" s="70"/>
      <c r="K76" s="7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s="43" customFormat="1" ht="11.25" customHeight="1" x14ac:dyDescent="0.25">
      <c r="A77" s="1"/>
      <c r="B77" s="3"/>
      <c r="D77" s="69"/>
      <c r="E77" s="1"/>
      <c r="F77" s="1"/>
      <c r="G77" s="70"/>
      <c r="H77" s="70"/>
      <c r="I77" s="70"/>
      <c r="J77" s="70"/>
      <c r="K77" s="7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s="43" customFormat="1" ht="11.25" customHeight="1" x14ac:dyDescent="0.25">
      <c r="A78" s="1"/>
      <c r="B78" s="3"/>
      <c r="D78" s="69"/>
      <c r="E78" s="1"/>
      <c r="F78" s="1"/>
      <c r="G78" s="70"/>
      <c r="H78" s="70"/>
      <c r="I78" s="70"/>
      <c r="J78" s="70"/>
      <c r="K78" s="7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s="43" customFormat="1" ht="11.25" customHeight="1" x14ac:dyDescent="0.25">
      <c r="A79" s="1"/>
      <c r="B79" s="3"/>
      <c r="D79" s="69"/>
      <c r="E79" s="1"/>
      <c r="F79" s="1"/>
      <c r="G79" s="70"/>
      <c r="H79" s="70"/>
      <c r="I79" s="70"/>
      <c r="J79" s="70"/>
      <c r="K79" s="7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s="43" customFormat="1" ht="11.25" customHeight="1" x14ac:dyDescent="0.25">
      <c r="A80" s="1"/>
      <c r="B80" s="3"/>
      <c r="D80" s="69"/>
      <c r="E80" s="1"/>
      <c r="F80" s="1"/>
      <c r="G80" s="70"/>
      <c r="H80" s="70"/>
      <c r="I80" s="70"/>
      <c r="J80" s="70"/>
      <c r="K80" s="7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s="43" customFormat="1" ht="11.25" customHeight="1" x14ac:dyDescent="0.25">
      <c r="A81" s="1"/>
      <c r="B81" s="3"/>
      <c r="D81" s="69"/>
      <c r="E81" s="1"/>
      <c r="F81" s="1"/>
      <c r="G81" s="70"/>
      <c r="H81" s="70"/>
      <c r="I81" s="70"/>
      <c r="J81" s="70"/>
      <c r="K81" s="7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s="43" customFormat="1" ht="11.25" customHeight="1" x14ac:dyDescent="0.25">
      <c r="A82" s="1"/>
      <c r="B82" s="3"/>
      <c r="D82" s="69"/>
      <c r="E82" s="1"/>
      <c r="F82" s="1"/>
      <c r="G82" s="70"/>
      <c r="H82" s="70"/>
      <c r="I82" s="70"/>
      <c r="J82" s="70"/>
      <c r="K82" s="7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s="43" customFormat="1" ht="11.25" customHeight="1" x14ac:dyDescent="0.25">
      <c r="A83" s="1"/>
      <c r="B83" s="3"/>
      <c r="D83" s="69"/>
      <c r="E83" s="1"/>
      <c r="F83" s="1"/>
      <c r="G83" s="70"/>
      <c r="H83" s="70"/>
      <c r="I83" s="70"/>
      <c r="J83" s="70"/>
      <c r="K83" s="7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s="43" customFormat="1" ht="11.25" customHeight="1" x14ac:dyDescent="0.25">
      <c r="A84" s="1"/>
      <c r="B84" s="3"/>
      <c r="D84" s="69"/>
      <c r="E84" s="1"/>
      <c r="F84" s="1"/>
      <c r="G84" s="70"/>
      <c r="H84" s="70"/>
      <c r="I84" s="70"/>
      <c r="J84" s="70"/>
      <c r="K84" s="7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s="43" customFormat="1" ht="11.25" customHeight="1" x14ac:dyDescent="0.25">
      <c r="A85" s="1"/>
      <c r="B85" s="3"/>
      <c r="D85" s="69"/>
      <c r="E85" s="1"/>
      <c r="F85" s="1"/>
      <c r="G85" s="70"/>
      <c r="H85" s="70"/>
      <c r="I85" s="70"/>
      <c r="J85" s="70"/>
      <c r="K85" s="7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s="43" customFormat="1" ht="11.25" customHeight="1" x14ac:dyDescent="0.25">
      <c r="A86" s="1"/>
      <c r="B86" s="3"/>
      <c r="D86" s="69"/>
      <c r="E86" s="1"/>
      <c r="F86" s="1"/>
      <c r="G86" s="70"/>
      <c r="H86" s="70"/>
      <c r="I86" s="70"/>
      <c r="J86" s="70"/>
      <c r="K86" s="7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s="43" customFormat="1" ht="11.25" customHeight="1" x14ac:dyDescent="0.25">
      <c r="A87" s="1"/>
      <c r="B87" s="3"/>
      <c r="D87" s="69"/>
      <c r="E87" s="1"/>
      <c r="F87" s="1"/>
      <c r="G87" s="70"/>
      <c r="H87" s="70"/>
      <c r="I87" s="70"/>
      <c r="J87" s="70"/>
      <c r="K87" s="7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s="43" customFormat="1" ht="11.25" customHeight="1" x14ac:dyDescent="0.25">
      <c r="A88" s="1"/>
      <c r="B88" s="3"/>
      <c r="D88" s="69"/>
      <c r="E88" s="1"/>
      <c r="F88" s="1"/>
      <c r="G88" s="70"/>
      <c r="H88" s="70"/>
      <c r="I88" s="70"/>
      <c r="J88" s="70"/>
      <c r="K88" s="7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s="43" customFormat="1" ht="11.25" customHeight="1" x14ac:dyDescent="0.25">
      <c r="A89" s="1"/>
      <c r="B89" s="3"/>
      <c r="D89" s="69"/>
      <c r="E89" s="1"/>
      <c r="F89" s="1"/>
      <c r="G89" s="70"/>
      <c r="H89" s="70"/>
      <c r="I89" s="70"/>
      <c r="J89" s="70"/>
      <c r="K89" s="7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s="43" customFormat="1" ht="11.25" customHeight="1" x14ac:dyDescent="0.25">
      <c r="A90" s="1"/>
      <c r="B90" s="3"/>
      <c r="D90" s="69"/>
      <c r="E90" s="1"/>
      <c r="F90" s="1"/>
      <c r="G90" s="70"/>
      <c r="H90" s="70"/>
      <c r="I90" s="70"/>
      <c r="J90" s="70"/>
      <c r="K90" s="7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s="43" customFormat="1" ht="11.25" customHeight="1" x14ac:dyDescent="0.25">
      <c r="A91" s="1"/>
      <c r="B91" s="3"/>
      <c r="D91" s="69"/>
      <c r="E91" s="1"/>
      <c r="F91" s="1"/>
      <c r="G91" s="70"/>
      <c r="H91" s="70"/>
      <c r="I91" s="70"/>
      <c r="J91" s="70"/>
      <c r="K91" s="7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s="43" customFormat="1" ht="11.25" customHeight="1" x14ac:dyDescent="0.25">
      <c r="A92" s="1"/>
      <c r="B92" s="3"/>
      <c r="D92" s="69"/>
      <c r="E92" s="1"/>
      <c r="F92" s="1"/>
      <c r="G92" s="70"/>
      <c r="H92" s="70"/>
      <c r="I92" s="70"/>
      <c r="J92" s="70"/>
      <c r="K92" s="7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s="43" customFormat="1" ht="11.25" customHeight="1" x14ac:dyDescent="0.25">
      <c r="A93" s="1"/>
      <c r="B93" s="3"/>
      <c r="D93" s="69"/>
      <c r="E93" s="1"/>
      <c r="F93" s="1"/>
      <c r="G93" s="70"/>
      <c r="H93" s="70"/>
      <c r="I93" s="70"/>
      <c r="J93" s="70"/>
      <c r="K93" s="7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s="43" customFormat="1" ht="11.25" customHeight="1" x14ac:dyDescent="0.25">
      <c r="A94" s="1"/>
      <c r="B94" s="3"/>
      <c r="D94" s="69"/>
      <c r="E94" s="1"/>
      <c r="F94" s="1"/>
      <c r="G94" s="70"/>
      <c r="H94" s="70"/>
      <c r="I94" s="70"/>
      <c r="J94" s="70"/>
      <c r="K94" s="7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s="43" customFormat="1" ht="11.25" customHeight="1" x14ac:dyDescent="0.25">
      <c r="A95" s="1"/>
      <c r="B95" s="3"/>
      <c r="D95" s="69"/>
      <c r="E95" s="1"/>
      <c r="F95" s="1"/>
      <c r="G95" s="70"/>
      <c r="H95" s="70"/>
      <c r="I95" s="70"/>
      <c r="J95" s="70"/>
      <c r="K95" s="7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s="43" customFormat="1" ht="11.25" customHeight="1" x14ac:dyDescent="0.25">
      <c r="A96" s="1"/>
      <c r="B96" s="3"/>
      <c r="D96" s="69"/>
      <c r="E96" s="1"/>
      <c r="F96" s="1"/>
      <c r="G96" s="70"/>
      <c r="H96" s="70"/>
      <c r="I96" s="70"/>
      <c r="J96" s="70"/>
      <c r="K96" s="7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s="43" customFormat="1" ht="11.25" customHeight="1" x14ac:dyDescent="0.25">
      <c r="A97" s="1"/>
      <c r="B97" s="3"/>
      <c r="D97" s="69"/>
      <c r="E97" s="1"/>
      <c r="F97" s="1"/>
      <c r="G97" s="70"/>
      <c r="H97" s="70"/>
      <c r="I97" s="70"/>
      <c r="J97" s="70"/>
      <c r="K97" s="7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s="43" customFormat="1" ht="11.25" customHeight="1" x14ac:dyDescent="0.25">
      <c r="A98" s="1"/>
      <c r="B98" s="3"/>
      <c r="D98" s="69"/>
      <c r="E98" s="1"/>
      <c r="F98" s="1"/>
      <c r="G98" s="70"/>
      <c r="H98" s="70"/>
      <c r="I98" s="70"/>
      <c r="J98" s="70"/>
      <c r="K98" s="7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s="43" customFormat="1" ht="11.25" customHeight="1" x14ac:dyDescent="0.25">
      <c r="A99" s="1"/>
      <c r="B99" s="3"/>
      <c r="D99" s="69"/>
      <c r="E99" s="1"/>
      <c r="F99" s="1"/>
      <c r="G99" s="70"/>
      <c r="H99" s="70"/>
      <c r="I99" s="70"/>
      <c r="J99" s="70"/>
      <c r="K99" s="7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s="43" customFormat="1" ht="11.25" customHeight="1" x14ac:dyDescent="0.25">
      <c r="A100" s="1"/>
      <c r="B100" s="3"/>
      <c r="D100" s="69"/>
      <c r="E100" s="1"/>
      <c r="F100" s="1"/>
      <c r="G100" s="70"/>
      <c r="H100" s="70"/>
      <c r="I100" s="70"/>
      <c r="J100" s="70"/>
      <c r="K100" s="7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s="43" customFormat="1" ht="11.25" customHeight="1" x14ac:dyDescent="0.25">
      <c r="A101" s="1"/>
      <c r="B101" s="3"/>
      <c r="D101" s="69"/>
      <c r="E101" s="1"/>
      <c r="F101" s="1"/>
      <c r="G101" s="70"/>
      <c r="H101" s="70"/>
      <c r="I101" s="70"/>
      <c r="J101" s="70"/>
      <c r="K101" s="7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s="43" customFormat="1" ht="11.25" customHeight="1" x14ac:dyDescent="0.25">
      <c r="A102" s="1"/>
      <c r="B102" s="3"/>
      <c r="D102" s="69"/>
      <c r="E102" s="1"/>
      <c r="F102" s="1"/>
      <c r="G102" s="70"/>
      <c r="H102" s="70"/>
      <c r="I102" s="70"/>
      <c r="J102" s="70"/>
      <c r="K102" s="7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s="43" customFormat="1" ht="11.25" customHeight="1" x14ac:dyDescent="0.25">
      <c r="A103" s="1"/>
      <c r="B103" s="3"/>
      <c r="D103" s="69"/>
      <c r="E103" s="1"/>
      <c r="F103" s="1"/>
      <c r="G103" s="70"/>
      <c r="H103" s="70"/>
      <c r="I103" s="70"/>
      <c r="J103" s="70"/>
      <c r="K103" s="7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s="43" customFormat="1" ht="11.25" customHeight="1" x14ac:dyDescent="0.25">
      <c r="A104" s="1"/>
      <c r="B104" s="3"/>
      <c r="D104" s="69"/>
      <c r="E104" s="1"/>
      <c r="F104" s="1"/>
      <c r="G104" s="70"/>
      <c r="H104" s="70"/>
      <c r="I104" s="70"/>
      <c r="J104" s="70"/>
      <c r="K104" s="7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s="43" customFormat="1" ht="11.25" customHeight="1" x14ac:dyDescent="0.25">
      <c r="A105" s="1"/>
      <c r="B105" s="3"/>
      <c r="D105" s="69"/>
      <c r="E105" s="1"/>
      <c r="F105" s="1"/>
      <c r="G105" s="70"/>
      <c r="H105" s="70"/>
      <c r="I105" s="70"/>
      <c r="J105" s="70"/>
      <c r="K105" s="7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s="43" customFormat="1" ht="11.25" customHeight="1" x14ac:dyDescent="0.25">
      <c r="A106" s="1"/>
      <c r="B106" s="3"/>
      <c r="D106" s="69"/>
      <c r="E106" s="1"/>
      <c r="F106" s="1"/>
      <c r="G106" s="70"/>
      <c r="H106" s="70"/>
      <c r="I106" s="70"/>
      <c r="J106" s="70"/>
      <c r="K106" s="7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s="43" customFormat="1" ht="11.25" customHeight="1" x14ac:dyDescent="0.25">
      <c r="A107" s="1"/>
      <c r="B107" s="3"/>
      <c r="D107" s="69"/>
      <c r="E107" s="1"/>
      <c r="F107" s="1"/>
      <c r="G107" s="70"/>
      <c r="H107" s="70"/>
      <c r="I107" s="70"/>
      <c r="J107" s="70"/>
      <c r="K107" s="7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s="43" customFormat="1" ht="11.25" customHeight="1" x14ac:dyDescent="0.25">
      <c r="A108" s="1"/>
      <c r="B108" s="3"/>
      <c r="D108" s="69"/>
      <c r="E108" s="1"/>
      <c r="F108" s="1"/>
      <c r="G108" s="70"/>
      <c r="H108" s="70"/>
      <c r="I108" s="70"/>
      <c r="J108" s="70"/>
      <c r="K108" s="7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s="43" customFormat="1" ht="11.25" customHeight="1" x14ac:dyDescent="0.25">
      <c r="A109" s="1"/>
      <c r="B109" s="3"/>
      <c r="D109" s="69"/>
      <c r="E109" s="1"/>
      <c r="F109" s="1"/>
      <c r="G109" s="70"/>
      <c r="H109" s="70"/>
      <c r="I109" s="70"/>
      <c r="J109" s="70"/>
      <c r="K109" s="7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s="43" customFormat="1" ht="11.25" customHeight="1" x14ac:dyDescent="0.25">
      <c r="A110" s="1"/>
      <c r="B110" s="3"/>
      <c r="D110" s="69"/>
      <c r="E110" s="1"/>
      <c r="F110" s="1"/>
      <c r="G110" s="70"/>
      <c r="H110" s="70"/>
      <c r="I110" s="70"/>
      <c r="J110" s="70"/>
      <c r="K110" s="7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s="43" customFormat="1" ht="11.25" customHeight="1" x14ac:dyDescent="0.25">
      <c r="A111" s="1"/>
      <c r="B111" s="3"/>
      <c r="D111" s="69"/>
      <c r="E111" s="1"/>
      <c r="F111" s="1"/>
      <c r="G111" s="70"/>
      <c r="H111" s="70"/>
      <c r="I111" s="70"/>
      <c r="J111" s="70"/>
      <c r="K111" s="7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s="43" customFormat="1" ht="11.25" customHeight="1" x14ac:dyDescent="0.25">
      <c r="A112" s="1"/>
      <c r="B112" s="3"/>
      <c r="D112" s="69"/>
      <c r="E112" s="1"/>
      <c r="F112" s="1"/>
      <c r="G112" s="70"/>
      <c r="H112" s="70"/>
      <c r="I112" s="70"/>
      <c r="J112" s="70"/>
      <c r="K112" s="7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s="43" customFormat="1" ht="11.25" customHeight="1" x14ac:dyDescent="0.25">
      <c r="A113" s="1"/>
      <c r="B113" s="3"/>
      <c r="D113" s="69"/>
      <c r="E113" s="1"/>
      <c r="F113" s="1"/>
      <c r="G113" s="70"/>
      <c r="H113" s="70"/>
      <c r="I113" s="70"/>
      <c r="J113" s="70"/>
      <c r="K113" s="7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s="43" customFormat="1" ht="11.25" customHeight="1" x14ac:dyDescent="0.25">
      <c r="A114" s="1"/>
      <c r="B114" s="3"/>
      <c r="D114" s="69"/>
      <c r="E114" s="1"/>
      <c r="F114" s="1"/>
      <c r="G114" s="70"/>
      <c r="H114" s="70"/>
      <c r="I114" s="70"/>
      <c r="J114" s="70"/>
      <c r="K114" s="7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s="43" customFormat="1" ht="11.25" customHeight="1" x14ac:dyDescent="0.25">
      <c r="A115" s="1"/>
      <c r="B115" s="3"/>
      <c r="D115" s="69"/>
      <c r="E115" s="1"/>
      <c r="F115" s="1"/>
      <c r="G115" s="70"/>
      <c r="H115" s="70"/>
      <c r="I115" s="70"/>
      <c r="J115" s="70"/>
      <c r="K115" s="7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s="43" customFormat="1" ht="11.25" customHeight="1" x14ac:dyDescent="0.25">
      <c r="A116" s="1"/>
      <c r="B116" s="3"/>
      <c r="D116" s="69"/>
      <c r="E116" s="1"/>
      <c r="F116" s="1"/>
      <c r="G116" s="70"/>
      <c r="H116" s="70"/>
      <c r="I116" s="70"/>
      <c r="J116" s="70"/>
      <c r="K116" s="7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s="43" customFormat="1" ht="11.25" customHeight="1" x14ac:dyDescent="0.25">
      <c r="A117" s="1"/>
      <c r="B117" s="3"/>
      <c r="D117" s="69"/>
      <c r="E117" s="1"/>
      <c r="F117" s="1"/>
      <c r="G117" s="70"/>
      <c r="H117" s="70"/>
      <c r="I117" s="70"/>
      <c r="J117" s="70"/>
      <c r="K117" s="7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s="43" customFormat="1" ht="11.25" customHeight="1" x14ac:dyDescent="0.25">
      <c r="A118" s="1"/>
      <c r="B118" s="3"/>
      <c r="D118" s="69"/>
      <c r="E118" s="1"/>
      <c r="F118" s="1"/>
      <c r="G118" s="70"/>
      <c r="H118" s="70"/>
      <c r="I118" s="70"/>
      <c r="J118" s="70"/>
      <c r="K118" s="7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s="43" customFormat="1" ht="11.25" customHeight="1" x14ac:dyDescent="0.25">
      <c r="A119" s="1"/>
      <c r="B119" s="3"/>
      <c r="D119" s="69"/>
      <c r="E119" s="1"/>
      <c r="F119" s="1"/>
      <c r="G119" s="70"/>
      <c r="H119" s="70"/>
      <c r="I119" s="70"/>
      <c r="J119" s="70"/>
      <c r="K119" s="7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s="43" customFormat="1" ht="11.25" customHeight="1" x14ac:dyDescent="0.25">
      <c r="A120" s="1"/>
      <c r="B120" s="3"/>
      <c r="D120" s="69"/>
      <c r="E120" s="1"/>
      <c r="F120" s="1"/>
      <c r="G120" s="70"/>
      <c r="H120" s="70"/>
      <c r="I120" s="70"/>
      <c r="J120" s="70"/>
      <c r="K120" s="7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s="43" customFormat="1" ht="11.25" customHeight="1" x14ac:dyDescent="0.25">
      <c r="A121" s="1"/>
      <c r="B121" s="3"/>
      <c r="D121" s="69"/>
      <c r="E121" s="1"/>
      <c r="F121" s="1"/>
      <c r="G121" s="70"/>
      <c r="H121" s="70"/>
      <c r="I121" s="70"/>
      <c r="J121" s="70"/>
      <c r="K121" s="7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s="43" customFormat="1" ht="11.25" customHeight="1" x14ac:dyDescent="0.25">
      <c r="A122" s="1"/>
      <c r="B122" s="3"/>
      <c r="D122" s="69"/>
      <c r="E122" s="1"/>
      <c r="F122" s="1"/>
      <c r="G122" s="70"/>
      <c r="H122" s="70"/>
      <c r="I122" s="70"/>
      <c r="J122" s="70"/>
      <c r="K122" s="7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s="43" customFormat="1" ht="11.25" customHeight="1" x14ac:dyDescent="0.25">
      <c r="A123" s="1"/>
      <c r="B123" s="3"/>
      <c r="D123" s="69"/>
      <c r="E123" s="1"/>
      <c r="F123" s="1"/>
      <c r="G123" s="70"/>
      <c r="H123" s="70"/>
      <c r="I123" s="70"/>
      <c r="J123" s="70"/>
      <c r="K123" s="7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s="43" customFormat="1" ht="11.25" customHeight="1" x14ac:dyDescent="0.25">
      <c r="A124" s="1"/>
      <c r="B124" s="3"/>
      <c r="D124" s="69"/>
      <c r="E124" s="1"/>
      <c r="F124" s="1"/>
      <c r="G124" s="70"/>
      <c r="H124" s="70"/>
      <c r="I124" s="70"/>
      <c r="J124" s="70"/>
      <c r="K124" s="7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s="43" customFormat="1" ht="11.25" customHeight="1" x14ac:dyDescent="0.25">
      <c r="A125" s="1"/>
      <c r="B125" s="3"/>
      <c r="D125" s="69"/>
      <c r="E125" s="1"/>
      <c r="F125" s="1"/>
      <c r="G125" s="70"/>
      <c r="H125" s="70"/>
      <c r="I125" s="70"/>
      <c r="J125" s="70"/>
      <c r="K125" s="7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s="43" customFormat="1" ht="11.25" customHeight="1" x14ac:dyDescent="0.25">
      <c r="A126" s="1"/>
      <c r="B126" s="3"/>
      <c r="D126" s="69"/>
      <c r="E126" s="1"/>
      <c r="F126" s="1"/>
      <c r="G126" s="70"/>
      <c r="H126" s="70"/>
      <c r="I126" s="70"/>
      <c r="J126" s="70"/>
      <c r="K126" s="7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s="43" customFormat="1" ht="11.25" customHeight="1" x14ac:dyDescent="0.25">
      <c r="A127" s="1"/>
      <c r="B127" s="3"/>
      <c r="D127" s="69"/>
      <c r="E127" s="1"/>
      <c r="F127" s="1"/>
      <c r="G127" s="70"/>
      <c r="H127" s="70"/>
      <c r="I127" s="70"/>
      <c r="J127" s="70"/>
      <c r="K127" s="7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s="43" customFormat="1" ht="11.25" customHeight="1" x14ac:dyDescent="0.25">
      <c r="A128" s="1"/>
      <c r="B128" s="3"/>
      <c r="D128" s="69"/>
      <c r="E128" s="1"/>
      <c r="F128" s="1"/>
      <c r="G128" s="70"/>
      <c r="H128" s="70"/>
      <c r="I128" s="70"/>
      <c r="J128" s="70"/>
      <c r="K128" s="7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s="43" customFormat="1" ht="11.25" customHeight="1" x14ac:dyDescent="0.25">
      <c r="A129" s="1"/>
      <c r="B129" s="3"/>
      <c r="D129" s="69"/>
      <c r="E129" s="1"/>
      <c r="F129" s="1"/>
      <c r="G129" s="70"/>
      <c r="H129" s="70"/>
      <c r="I129" s="70"/>
      <c r="J129" s="70"/>
      <c r="K129" s="7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s="43" customFormat="1" ht="11.25" customHeight="1" x14ac:dyDescent="0.25">
      <c r="A130" s="1"/>
      <c r="B130" s="3"/>
      <c r="D130" s="69"/>
      <c r="E130" s="1"/>
      <c r="F130" s="1"/>
      <c r="G130" s="70"/>
      <c r="H130" s="70"/>
      <c r="I130" s="70"/>
      <c r="J130" s="70"/>
      <c r="K130" s="7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s="43" customFormat="1" ht="11.25" customHeight="1" x14ac:dyDescent="0.25">
      <c r="A131" s="1"/>
      <c r="B131" s="3"/>
      <c r="D131" s="69"/>
      <c r="E131" s="1"/>
      <c r="F131" s="1"/>
      <c r="G131" s="70"/>
      <c r="H131" s="70"/>
      <c r="I131" s="70"/>
      <c r="J131" s="70"/>
      <c r="K131" s="7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s="43" customFormat="1" ht="11.25" customHeight="1" x14ac:dyDescent="0.25">
      <c r="A132" s="1"/>
      <c r="B132" s="3"/>
      <c r="D132" s="69"/>
      <c r="E132" s="1"/>
      <c r="F132" s="1"/>
      <c r="G132" s="70"/>
      <c r="H132" s="70"/>
      <c r="I132" s="70"/>
      <c r="J132" s="70"/>
      <c r="K132" s="7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s="43" customFormat="1" ht="11.25" customHeight="1" x14ac:dyDescent="0.25">
      <c r="A133" s="1"/>
      <c r="B133" s="3"/>
      <c r="D133" s="69"/>
      <c r="E133" s="1"/>
      <c r="F133" s="1"/>
      <c r="G133" s="70"/>
      <c r="H133" s="70"/>
      <c r="I133" s="70"/>
      <c r="J133" s="70"/>
      <c r="K133" s="7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s="43" customFormat="1" ht="11.25" customHeight="1" x14ac:dyDescent="0.25">
      <c r="A134" s="1"/>
      <c r="B134" s="3"/>
      <c r="D134" s="69"/>
      <c r="E134" s="1"/>
      <c r="F134" s="1"/>
      <c r="G134" s="70"/>
      <c r="H134" s="70"/>
      <c r="I134" s="70"/>
      <c r="J134" s="70"/>
      <c r="K134" s="7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s="43" customFormat="1" ht="11.25" customHeight="1" x14ac:dyDescent="0.25">
      <c r="A135" s="1"/>
      <c r="B135" s="3"/>
      <c r="D135" s="69"/>
      <c r="E135" s="1"/>
      <c r="F135" s="1"/>
      <c r="G135" s="70"/>
      <c r="H135" s="70"/>
      <c r="I135" s="70"/>
      <c r="J135" s="70"/>
      <c r="K135" s="7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s="43" customFormat="1" ht="11.25" customHeight="1" x14ac:dyDescent="0.25">
      <c r="A136" s="1"/>
      <c r="B136" s="3"/>
      <c r="D136" s="69"/>
      <c r="E136" s="1"/>
      <c r="F136" s="1"/>
      <c r="G136" s="70"/>
      <c r="H136" s="70"/>
      <c r="I136" s="70"/>
      <c r="J136" s="70"/>
      <c r="K136" s="7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s="43" customFormat="1" ht="11.25" customHeight="1" x14ac:dyDescent="0.25">
      <c r="A137" s="1"/>
      <c r="B137" s="3"/>
      <c r="D137" s="69"/>
      <c r="E137" s="1"/>
      <c r="F137" s="1"/>
      <c r="G137" s="70"/>
      <c r="H137" s="70"/>
      <c r="I137" s="70"/>
      <c r="J137" s="70"/>
      <c r="K137" s="7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s="43" customFormat="1" ht="11.25" customHeight="1" x14ac:dyDescent="0.25">
      <c r="A138" s="1"/>
      <c r="B138" s="3"/>
      <c r="D138" s="69"/>
      <c r="E138" s="1"/>
      <c r="F138" s="1"/>
      <c r="G138" s="70"/>
      <c r="H138" s="70"/>
      <c r="I138" s="70"/>
      <c r="J138" s="70"/>
      <c r="K138" s="7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s="43" customFormat="1" ht="11.25" customHeight="1" x14ac:dyDescent="0.25">
      <c r="A139" s="1"/>
      <c r="B139" s="3"/>
      <c r="D139" s="69"/>
      <c r="E139" s="1"/>
      <c r="F139" s="1"/>
      <c r="G139" s="70"/>
      <c r="H139" s="70"/>
      <c r="I139" s="70"/>
      <c r="J139" s="70"/>
      <c r="K139" s="7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s="43" customFormat="1" ht="11.25" customHeight="1" x14ac:dyDescent="0.25">
      <c r="A140" s="1"/>
      <c r="B140" s="3"/>
      <c r="D140" s="69"/>
      <c r="E140" s="1"/>
      <c r="F140" s="1"/>
      <c r="G140" s="70"/>
      <c r="H140" s="70"/>
      <c r="I140" s="70"/>
      <c r="J140" s="70"/>
      <c r="K140" s="7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s="43" customFormat="1" ht="11.25" customHeight="1" x14ac:dyDescent="0.25">
      <c r="A141" s="1"/>
      <c r="B141" s="3"/>
      <c r="D141" s="69"/>
      <c r="E141" s="1"/>
      <c r="F141" s="1"/>
      <c r="G141" s="70"/>
      <c r="H141" s="70"/>
      <c r="I141" s="70"/>
      <c r="J141" s="70"/>
      <c r="K141" s="7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s="43" customFormat="1" ht="11.25" customHeight="1" x14ac:dyDescent="0.25">
      <c r="A142" s="1"/>
      <c r="B142" s="3"/>
      <c r="D142" s="69"/>
      <c r="E142" s="1"/>
      <c r="F142" s="1"/>
      <c r="G142" s="70"/>
      <c r="H142" s="70"/>
      <c r="I142" s="70"/>
      <c r="J142" s="70"/>
      <c r="K142" s="7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s="43" customFormat="1" ht="11.25" customHeight="1" x14ac:dyDescent="0.25">
      <c r="A143" s="1"/>
      <c r="B143" s="3"/>
      <c r="D143" s="69"/>
      <c r="E143" s="1"/>
      <c r="F143" s="1"/>
      <c r="G143" s="70"/>
      <c r="H143" s="70"/>
      <c r="I143" s="70"/>
      <c r="J143" s="70"/>
      <c r="K143" s="7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s="43" customFormat="1" ht="11.25" customHeight="1" x14ac:dyDescent="0.25">
      <c r="A144" s="1"/>
      <c r="B144" s="3"/>
      <c r="D144" s="69"/>
      <c r="E144" s="1"/>
      <c r="F144" s="1"/>
      <c r="G144" s="70"/>
      <c r="H144" s="70"/>
      <c r="I144" s="70"/>
      <c r="J144" s="70"/>
      <c r="K144" s="7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s="43" customFormat="1" ht="11.25" customHeight="1" x14ac:dyDescent="0.25">
      <c r="A145" s="1"/>
      <c r="B145" s="3"/>
      <c r="D145" s="69"/>
      <c r="E145" s="1"/>
      <c r="F145" s="1"/>
      <c r="G145" s="70"/>
      <c r="H145" s="70"/>
      <c r="I145" s="70"/>
      <c r="J145" s="70"/>
      <c r="K145" s="7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s="43" customFormat="1" ht="11.25" customHeight="1" x14ac:dyDescent="0.25">
      <c r="A146" s="1"/>
      <c r="B146" s="3"/>
      <c r="D146" s="69"/>
      <c r="E146" s="1"/>
      <c r="F146" s="1"/>
      <c r="G146" s="70"/>
      <c r="H146" s="70"/>
      <c r="I146" s="70"/>
      <c r="J146" s="70"/>
      <c r="K146" s="7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s="43" customFormat="1" ht="11.25" customHeight="1" x14ac:dyDescent="0.25">
      <c r="A147" s="1"/>
      <c r="B147" s="3"/>
      <c r="D147" s="69"/>
      <c r="E147" s="1"/>
      <c r="F147" s="1"/>
      <c r="G147" s="70"/>
      <c r="H147" s="70"/>
      <c r="I147" s="70"/>
      <c r="J147" s="70"/>
      <c r="K147" s="7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s="43" customFormat="1" ht="11.25" customHeight="1" x14ac:dyDescent="0.25">
      <c r="A148" s="1"/>
      <c r="B148" s="3"/>
      <c r="D148" s="69"/>
      <c r="E148" s="1"/>
      <c r="F148" s="1"/>
      <c r="G148" s="70"/>
      <c r="H148" s="70"/>
      <c r="I148" s="70"/>
      <c r="J148" s="70"/>
      <c r="K148" s="7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s="43" customFormat="1" ht="11.25" customHeight="1" x14ac:dyDescent="0.25">
      <c r="A149" s="1"/>
      <c r="B149" s="3"/>
      <c r="D149" s="69"/>
      <c r="E149" s="1"/>
      <c r="F149" s="1"/>
      <c r="G149" s="70"/>
      <c r="H149" s="70"/>
      <c r="I149" s="70"/>
      <c r="J149" s="70"/>
      <c r="K149" s="7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s="43" customFormat="1" ht="11.25" customHeight="1" x14ac:dyDescent="0.25">
      <c r="A150" s="1"/>
      <c r="B150" s="3"/>
      <c r="D150" s="69"/>
      <c r="E150" s="1"/>
      <c r="F150" s="1"/>
      <c r="G150" s="70"/>
      <c r="H150" s="70"/>
      <c r="I150" s="70"/>
      <c r="J150" s="70"/>
      <c r="K150" s="7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s="43" customFormat="1" ht="11.25" customHeight="1" x14ac:dyDescent="0.25">
      <c r="A151" s="1"/>
      <c r="B151" s="3"/>
      <c r="D151" s="69"/>
      <c r="E151" s="1"/>
      <c r="F151" s="1"/>
      <c r="G151" s="70"/>
      <c r="H151" s="70"/>
      <c r="I151" s="70"/>
      <c r="J151" s="70"/>
      <c r="K151" s="7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s="43" customFormat="1" ht="11.25" customHeight="1" x14ac:dyDescent="0.25">
      <c r="A152" s="1"/>
      <c r="B152" s="3"/>
      <c r="D152" s="69"/>
      <c r="E152" s="1"/>
      <c r="F152" s="1"/>
      <c r="G152" s="70"/>
      <c r="H152" s="70"/>
      <c r="I152" s="70"/>
      <c r="J152" s="70"/>
      <c r="K152" s="7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s="43" customFormat="1" ht="11.25" customHeight="1" x14ac:dyDescent="0.25">
      <c r="A153" s="1"/>
      <c r="B153" s="3"/>
      <c r="D153" s="69"/>
      <c r="E153" s="1"/>
      <c r="F153" s="1"/>
      <c r="G153" s="70"/>
      <c r="H153" s="70"/>
      <c r="I153" s="70"/>
      <c r="J153" s="70"/>
      <c r="K153" s="7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s="43" customFormat="1" ht="11.25" customHeight="1" x14ac:dyDescent="0.25">
      <c r="A154" s="1"/>
      <c r="B154" s="3"/>
      <c r="D154" s="69"/>
      <c r="E154" s="1"/>
      <c r="F154" s="1"/>
      <c r="G154" s="70"/>
      <c r="H154" s="70"/>
      <c r="I154" s="70"/>
      <c r="J154" s="70"/>
      <c r="K154" s="7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s="43" customFormat="1" ht="11.25" customHeight="1" x14ac:dyDescent="0.25">
      <c r="A155" s="1"/>
      <c r="B155" s="3"/>
      <c r="D155" s="69"/>
      <c r="E155" s="1"/>
      <c r="F155" s="1"/>
      <c r="G155" s="70"/>
      <c r="H155" s="70"/>
      <c r="I155" s="70"/>
      <c r="J155" s="70"/>
      <c r="K155" s="7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s="43" customFormat="1" ht="11.25" customHeight="1" x14ac:dyDescent="0.25">
      <c r="A156" s="1"/>
      <c r="B156" s="3"/>
      <c r="D156" s="69"/>
      <c r="E156" s="1"/>
      <c r="F156" s="1"/>
      <c r="G156" s="70"/>
      <c r="H156" s="70"/>
      <c r="I156" s="70"/>
      <c r="J156" s="70"/>
      <c r="K156" s="7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s="43" customFormat="1" ht="11.25" customHeight="1" x14ac:dyDescent="0.25">
      <c r="A157" s="1"/>
      <c r="B157" s="3"/>
      <c r="D157" s="69"/>
      <c r="E157" s="1"/>
      <c r="F157" s="1"/>
      <c r="G157" s="70"/>
      <c r="H157" s="70"/>
      <c r="I157" s="70"/>
      <c r="J157" s="70"/>
      <c r="K157" s="7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s="43" customFormat="1" ht="11.25" customHeight="1" x14ac:dyDescent="0.25">
      <c r="A158" s="1"/>
      <c r="B158" s="3"/>
      <c r="D158" s="69"/>
      <c r="E158" s="1"/>
      <c r="F158" s="1"/>
      <c r="G158" s="70"/>
      <c r="H158" s="70"/>
      <c r="I158" s="70"/>
      <c r="J158" s="70"/>
      <c r="K158" s="7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s="43" customFormat="1" ht="11.25" customHeight="1" x14ac:dyDescent="0.25">
      <c r="A159" s="1"/>
      <c r="B159" s="3"/>
      <c r="D159" s="69"/>
      <c r="E159" s="1"/>
      <c r="F159" s="1"/>
      <c r="G159" s="70"/>
      <c r="H159" s="70"/>
      <c r="I159" s="70"/>
      <c r="J159" s="70"/>
      <c r="K159" s="7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s="43" customFormat="1" ht="11.25" customHeight="1" x14ac:dyDescent="0.25">
      <c r="A160" s="1"/>
      <c r="B160" s="3"/>
      <c r="D160" s="69"/>
      <c r="E160" s="1"/>
      <c r="F160" s="1"/>
      <c r="G160" s="70"/>
      <c r="H160" s="70"/>
      <c r="I160" s="70"/>
      <c r="J160" s="70"/>
      <c r="K160" s="7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s="43" customFormat="1" ht="11.25" customHeight="1" x14ac:dyDescent="0.25">
      <c r="A161" s="1"/>
      <c r="B161" s="3"/>
      <c r="D161" s="69"/>
      <c r="E161" s="1"/>
      <c r="F161" s="1"/>
      <c r="G161" s="70"/>
      <c r="H161" s="70"/>
      <c r="I161" s="70"/>
      <c r="J161" s="70"/>
      <c r="K161" s="7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s="43" customFormat="1" ht="11.25" customHeight="1" x14ac:dyDescent="0.25">
      <c r="A162" s="1"/>
      <c r="B162" s="3"/>
      <c r="D162" s="69"/>
      <c r="E162" s="1"/>
      <c r="F162" s="1"/>
      <c r="G162" s="70"/>
      <c r="H162" s="70"/>
      <c r="I162" s="70"/>
      <c r="J162" s="70"/>
      <c r="K162" s="7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s="43" customFormat="1" ht="11.25" customHeight="1" x14ac:dyDescent="0.25">
      <c r="A163" s="1"/>
      <c r="B163" s="3"/>
      <c r="D163" s="69"/>
      <c r="E163" s="1"/>
      <c r="F163" s="1"/>
      <c r="G163" s="70"/>
      <c r="H163" s="70"/>
      <c r="I163" s="70"/>
      <c r="J163" s="70"/>
      <c r="K163" s="7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s="43" customFormat="1" ht="11.25" customHeight="1" x14ac:dyDescent="0.25">
      <c r="A164" s="1"/>
      <c r="B164" s="3"/>
      <c r="D164" s="69"/>
      <c r="E164" s="1"/>
      <c r="F164" s="1"/>
      <c r="G164" s="70"/>
      <c r="H164" s="70"/>
      <c r="I164" s="70"/>
      <c r="J164" s="70"/>
      <c r="K164" s="7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s="43" customFormat="1" ht="11.25" customHeight="1" x14ac:dyDescent="0.25">
      <c r="A165" s="1"/>
      <c r="B165" s="3"/>
      <c r="D165" s="69"/>
      <c r="E165" s="1"/>
      <c r="F165" s="1"/>
      <c r="G165" s="70"/>
      <c r="H165" s="70"/>
      <c r="I165" s="70"/>
      <c r="J165" s="70"/>
      <c r="K165" s="7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s="43" customFormat="1" ht="11.25" customHeight="1" x14ac:dyDescent="0.25">
      <c r="A166" s="1"/>
      <c r="B166" s="3"/>
      <c r="D166" s="69"/>
      <c r="E166" s="1"/>
      <c r="F166" s="1"/>
      <c r="G166" s="70"/>
      <c r="H166" s="70"/>
      <c r="I166" s="70"/>
      <c r="J166" s="70"/>
      <c r="K166" s="7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s="43" customFormat="1" ht="11.25" customHeight="1" x14ac:dyDescent="0.25">
      <c r="A167" s="1"/>
      <c r="B167" s="3"/>
      <c r="D167" s="69"/>
      <c r="E167" s="1"/>
      <c r="F167" s="1"/>
      <c r="G167" s="70"/>
      <c r="H167" s="70"/>
      <c r="I167" s="70"/>
      <c r="J167" s="70"/>
      <c r="K167" s="7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s="43" customFormat="1" ht="11.25" customHeight="1" x14ac:dyDescent="0.25">
      <c r="A168" s="1"/>
      <c r="B168" s="3"/>
      <c r="D168" s="69"/>
      <c r="E168" s="1"/>
      <c r="F168" s="1"/>
      <c r="G168" s="70"/>
      <c r="H168" s="70"/>
      <c r="I168" s="70"/>
      <c r="J168" s="70"/>
      <c r="K168" s="7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s="43" customFormat="1" ht="11.25" customHeight="1" x14ac:dyDescent="0.25">
      <c r="A169" s="1"/>
      <c r="B169" s="3"/>
      <c r="D169" s="69"/>
      <c r="E169" s="1"/>
      <c r="F169" s="1"/>
      <c r="G169" s="70"/>
      <c r="H169" s="70"/>
      <c r="I169" s="70"/>
      <c r="J169" s="70"/>
      <c r="K169" s="7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s="43" customFormat="1" ht="11.25" customHeight="1" x14ac:dyDescent="0.25">
      <c r="A170" s="1"/>
      <c r="B170" s="3"/>
      <c r="D170" s="69"/>
      <c r="E170" s="1"/>
      <c r="F170" s="1"/>
      <c r="G170" s="70"/>
      <c r="H170" s="70"/>
      <c r="I170" s="70"/>
      <c r="J170" s="70"/>
      <c r="K170" s="7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s="43" customFormat="1" ht="11.25" customHeight="1" x14ac:dyDescent="0.25">
      <c r="A171" s="1"/>
      <c r="B171" s="3"/>
      <c r="D171" s="69"/>
      <c r="E171" s="1"/>
      <c r="F171" s="1"/>
      <c r="G171" s="70"/>
      <c r="H171" s="70"/>
      <c r="I171" s="70"/>
      <c r="J171" s="70"/>
      <c r="K171" s="7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s="43" customFormat="1" ht="11.25" customHeight="1" x14ac:dyDescent="0.25">
      <c r="A172" s="1"/>
      <c r="B172" s="3"/>
      <c r="D172" s="69"/>
      <c r="E172" s="1"/>
      <c r="F172" s="1"/>
      <c r="G172" s="70"/>
      <c r="H172" s="70"/>
      <c r="I172" s="70"/>
      <c r="J172" s="70"/>
      <c r="K172" s="7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s="43" customFormat="1" ht="11.25" customHeight="1" x14ac:dyDescent="0.25">
      <c r="A173" s="1"/>
      <c r="B173" s="3"/>
      <c r="D173" s="69"/>
      <c r="E173" s="1"/>
      <c r="F173" s="1"/>
      <c r="G173" s="70"/>
      <c r="H173" s="70"/>
      <c r="I173" s="70"/>
      <c r="J173" s="70"/>
      <c r="K173" s="7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s="43" customFormat="1" ht="11.25" customHeight="1" x14ac:dyDescent="0.25">
      <c r="A174" s="1"/>
      <c r="B174" s="3"/>
      <c r="D174" s="69"/>
      <c r="E174" s="1"/>
      <c r="F174" s="1"/>
      <c r="G174" s="70"/>
      <c r="H174" s="70"/>
      <c r="I174" s="70"/>
      <c r="J174" s="70"/>
      <c r="K174" s="7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s="43" customFormat="1" ht="11.25" customHeight="1" x14ac:dyDescent="0.25">
      <c r="A175" s="1"/>
      <c r="B175" s="3"/>
      <c r="D175" s="69"/>
      <c r="E175" s="1"/>
      <c r="F175" s="1"/>
      <c r="G175" s="70"/>
      <c r="H175" s="70"/>
      <c r="I175" s="70"/>
      <c r="J175" s="70"/>
      <c r="K175" s="7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s="43" customFormat="1" ht="11.25" customHeight="1" x14ac:dyDescent="0.25">
      <c r="A176" s="1"/>
      <c r="B176" s="3"/>
      <c r="D176" s="69"/>
      <c r="E176" s="1"/>
      <c r="F176" s="1"/>
      <c r="G176" s="70"/>
      <c r="H176" s="70"/>
      <c r="I176" s="70"/>
      <c r="J176" s="70"/>
      <c r="K176" s="7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s="43" customFormat="1" ht="11.25" customHeight="1" x14ac:dyDescent="0.25">
      <c r="A177" s="1"/>
      <c r="B177" s="3"/>
      <c r="D177" s="69"/>
      <c r="E177" s="1"/>
      <c r="F177" s="1"/>
      <c r="G177" s="70"/>
      <c r="H177" s="70"/>
      <c r="I177" s="70"/>
      <c r="J177" s="70"/>
      <c r="K177" s="7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s="43" customFormat="1" ht="11.25" customHeight="1" x14ac:dyDescent="0.25">
      <c r="A178" s="1"/>
      <c r="B178" s="3"/>
      <c r="D178" s="69"/>
      <c r="E178" s="1"/>
      <c r="F178" s="1"/>
      <c r="G178" s="70"/>
      <c r="H178" s="70"/>
      <c r="I178" s="70"/>
      <c r="J178" s="70"/>
      <c r="K178" s="7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s="43" customFormat="1" ht="11.25" customHeight="1" x14ac:dyDescent="0.25">
      <c r="A179" s="1"/>
      <c r="B179" s="3"/>
      <c r="D179" s="69"/>
      <c r="E179" s="1"/>
      <c r="F179" s="1"/>
      <c r="G179" s="70"/>
      <c r="H179" s="70"/>
      <c r="I179" s="70"/>
      <c r="J179" s="70"/>
      <c r="K179" s="7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s="43" customFormat="1" ht="11.25" customHeight="1" x14ac:dyDescent="0.25">
      <c r="A180" s="1"/>
      <c r="B180" s="3"/>
      <c r="D180" s="69"/>
      <c r="E180" s="1"/>
      <c r="F180" s="1"/>
      <c r="G180" s="70"/>
      <c r="H180" s="70"/>
      <c r="I180" s="70"/>
      <c r="J180" s="70"/>
      <c r="K180" s="7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s="43" customFormat="1" ht="11.25" customHeight="1" x14ac:dyDescent="0.25">
      <c r="A181" s="1"/>
      <c r="B181" s="3"/>
      <c r="D181" s="69"/>
      <c r="E181" s="1"/>
      <c r="F181" s="1"/>
      <c r="G181" s="70"/>
      <c r="H181" s="70"/>
      <c r="I181" s="70"/>
      <c r="J181" s="70"/>
      <c r="K181" s="7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s="43" customFormat="1" ht="11.25" customHeight="1" x14ac:dyDescent="0.25">
      <c r="A182" s="1"/>
      <c r="B182" s="3"/>
      <c r="D182" s="69"/>
      <c r="E182" s="1"/>
      <c r="F182" s="1"/>
      <c r="G182" s="70"/>
      <c r="H182" s="70"/>
      <c r="I182" s="70"/>
      <c r="J182" s="70"/>
      <c r="K182" s="7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s="43" customFormat="1" ht="11.25" customHeight="1" x14ac:dyDescent="0.25">
      <c r="A183" s="1"/>
      <c r="B183" s="3"/>
      <c r="D183" s="69"/>
      <c r="E183" s="1"/>
      <c r="F183" s="1"/>
      <c r="G183" s="70"/>
      <c r="H183" s="70"/>
      <c r="I183" s="70"/>
      <c r="J183" s="70"/>
      <c r="K183" s="7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s="43" customFormat="1" ht="11.25" customHeight="1" x14ac:dyDescent="0.25">
      <c r="A184" s="1"/>
      <c r="B184" s="3"/>
      <c r="D184" s="69"/>
      <c r="E184" s="1"/>
      <c r="F184" s="1"/>
      <c r="G184" s="70"/>
      <c r="H184" s="70"/>
      <c r="I184" s="70"/>
      <c r="J184" s="70"/>
      <c r="K184" s="7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s="43" customFormat="1" ht="11.25" customHeight="1" x14ac:dyDescent="0.25">
      <c r="A185" s="1"/>
      <c r="B185" s="3"/>
      <c r="D185" s="69"/>
      <c r="E185" s="1"/>
      <c r="F185" s="1"/>
      <c r="G185" s="70"/>
      <c r="H185" s="70"/>
      <c r="I185" s="70"/>
      <c r="J185" s="70"/>
      <c r="K185" s="7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s="43" customFormat="1" ht="11.25" customHeight="1" x14ac:dyDescent="0.25">
      <c r="A186" s="1"/>
      <c r="B186" s="3"/>
      <c r="D186" s="69"/>
      <c r="E186" s="1"/>
      <c r="F186" s="1"/>
      <c r="G186" s="70"/>
      <c r="H186" s="70"/>
      <c r="I186" s="70"/>
      <c r="J186" s="70"/>
      <c r="K186" s="7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s="43" customFormat="1" ht="11.25" customHeight="1" x14ac:dyDescent="0.25">
      <c r="A187" s="1"/>
      <c r="B187" s="3"/>
      <c r="D187" s="69"/>
      <c r="E187" s="1"/>
      <c r="F187" s="1"/>
      <c r="G187" s="70"/>
      <c r="H187" s="70"/>
      <c r="I187" s="70"/>
      <c r="J187" s="70"/>
      <c r="K187" s="7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s="43" customFormat="1" ht="11.25" customHeight="1" x14ac:dyDescent="0.25">
      <c r="A188" s="1"/>
      <c r="B188" s="3"/>
      <c r="D188" s="69"/>
      <c r="E188" s="1"/>
      <c r="F188" s="1"/>
      <c r="G188" s="70"/>
      <c r="H188" s="70"/>
      <c r="I188" s="70"/>
      <c r="J188" s="70"/>
      <c r="K188" s="7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s="43" customFormat="1" ht="11.25" customHeight="1" x14ac:dyDescent="0.25">
      <c r="A189" s="1"/>
      <c r="B189" s="3"/>
      <c r="D189" s="69"/>
      <c r="E189" s="1"/>
      <c r="F189" s="1"/>
      <c r="G189" s="70"/>
      <c r="H189" s="70"/>
      <c r="I189" s="70"/>
      <c r="J189" s="70"/>
      <c r="K189" s="7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s="43" customFormat="1" ht="11.25" customHeight="1" x14ac:dyDescent="0.25">
      <c r="A190" s="1"/>
      <c r="B190" s="3"/>
      <c r="D190" s="69"/>
      <c r="E190" s="1"/>
      <c r="F190" s="1"/>
      <c r="G190" s="70"/>
      <c r="H190" s="70"/>
      <c r="I190" s="70"/>
      <c r="J190" s="70"/>
      <c r="K190" s="7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s="43" customFormat="1" ht="11.25" customHeight="1" x14ac:dyDescent="0.25">
      <c r="A191" s="1"/>
      <c r="B191" s="3"/>
      <c r="D191" s="69"/>
      <c r="E191" s="1"/>
      <c r="F191" s="1"/>
      <c r="G191" s="70"/>
      <c r="H191" s="70"/>
      <c r="I191" s="70"/>
      <c r="J191" s="70"/>
      <c r="K191" s="7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s="43" customFormat="1" ht="11.25" customHeight="1" x14ac:dyDescent="0.25">
      <c r="A192" s="1"/>
      <c r="B192" s="3"/>
      <c r="D192" s="69"/>
      <c r="E192" s="1"/>
      <c r="F192" s="1"/>
      <c r="G192" s="70"/>
      <c r="H192" s="70"/>
      <c r="I192" s="70"/>
      <c r="J192" s="70"/>
      <c r="K192" s="7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s="43" customFormat="1" ht="11.25" customHeight="1" x14ac:dyDescent="0.25">
      <c r="A193" s="1"/>
      <c r="B193" s="3"/>
      <c r="D193" s="69"/>
      <c r="E193" s="1"/>
      <c r="F193" s="1"/>
      <c r="G193" s="70"/>
      <c r="H193" s="70"/>
      <c r="I193" s="70"/>
      <c r="J193" s="70"/>
      <c r="K193" s="7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s="43" customFormat="1" ht="11.25" customHeight="1" x14ac:dyDescent="0.25">
      <c r="A194" s="1"/>
      <c r="B194" s="3"/>
      <c r="D194" s="69"/>
      <c r="E194" s="1"/>
      <c r="F194" s="1"/>
      <c r="G194" s="70"/>
      <c r="H194" s="70"/>
      <c r="I194" s="70"/>
      <c r="J194" s="70"/>
      <c r="K194" s="7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s="43" customFormat="1" ht="11.25" customHeight="1" x14ac:dyDescent="0.25">
      <c r="A195" s="1"/>
      <c r="B195" s="3"/>
      <c r="D195" s="69"/>
      <c r="E195" s="1"/>
      <c r="F195" s="1"/>
      <c r="G195" s="70"/>
      <c r="H195" s="70"/>
      <c r="I195" s="70"/>
      <c r="J195" s="70"/>
      <c r="K195" s="7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s="43" customFormat="1" ht="11.25" customHeight="1" x14ac:dyDescent="0.25">
      <c r="A196" s="1"/>
      <c r="B196" s="3"/>
      <c r="D196" s="69"/>
      <c r="E196" s="1"/>
      <c r="F196" s="1"/>
      <c r="G196" s="70"/>
      <c r="H196" s="70"/>
      <c r="I196" s="70"/>
      <c r="J196" s="70"/>
      <c r="K196" s="7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s="43" customFormat="1" ht="11.25" customHeight="1" x14ac:dyDescent="0.25">
      <c r="A197" s="1"/>
      <c r="B197" s="3"/>
      <c r="D197" s="69"/>
      <c r="E197" s="1"/>
      <c r="F197" s="1"/>
      <c r="G197" s="70"/>
      <c r="H197" s="70"/>
      <c r="I197" s="70"/>
      <c r="J197" s="70"/>
      <c r="K197" s="7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s="43" customFormat="1" ht="11.25" customHeight="1" x14ac:dyDescent="0.25">
      <c r="A198" s="1"/>
      <c r="B198" s="3"/>
      <c r="D198" s="69"/>
      <c r="E198" s="1"/>
      <c r="F198" s="1"/>
      <c r="G198" s="70"/>
      <c r="H198" s="70"/>
      <c r="I198" s="70"/>
      <c r="J198" s="70"/>
      <c r="K198" s="7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s="43" customFormat="1" ht="11.25" customHeight="1" x14ac:dyDescent="0.25">
      <c r="A199" s="1"/>
      <c r="B199" s="3"/>
      <c r="D199" s="69"/>
      <c r="E199" s="1"/>
      <c r="F199" s="1"/>
      <c r="G199" s="70"/>
      <c r="H199" s="70"/>
      <c r="I199" s="70"/>
      <c r="J199" s="70"/>
      <c r="K199" s="7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s="43" customFormat="1" ht="11.25" customHeight="1" x14ac:dyDescent="0.25">
      <c r="A200" s="1"/>
      <c r="B200" s="3"/>
      <c r="D200" s="69"/>
      <c r="E200" s="1"/>
      <c r="F200" s="1"/>
      <c r="G200" s="70"/>
      <c r="H200" s="70"/>
      <c r="I200" s="70"/>
      <c r="J200" s="70"/>
      <c r="K200" s="7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s="43" customFormat="1" ht="11.25" customHeight="1" x14ac:dyDescent="0.25">
      <c r="A201" s="1"/>
      <c r="B201" s="3"/>
      <c r="D201" s="69"/>
      <c r="E201" s="1"/>
      <c r="F201" s="1"/>
      <c r="G201" s="70"/>
      <c r="H201" s="70"/>
      <c r="I201" s="70"/>
      <c r="J201" s="70"/>
      <c r="K201" s="7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</sheetData>
  <mergeCells count="36">
    <mergeCell ref="B18:D18"/>
    <mergeCell ref="AA18:AB18"/>
    <mergeCell ref="N5:N6"/>
    <mergeCell ref="O5:O6"/>
    <mergeCell ref="P5:P6"/>
    <mergeCell ref="Q5:Q6"/>
    <mergeCell ref="R5:R6"/>
    <mergeCell ref="S5:S6"/>
    <mergeCell ref="X4:X6"/>
    <mergeCell ref="Y4:Y6"/>
    <mergeCell ref="Z4:Z6"/>
    <mergeCell ref="AA4:AA6"/>
    <mergeCell ref="AB4:AB6"/>
    <mergeCell ref="AD4:AD6"/>
    <mergeCell ref="H4:H6"/>
    <mergeCell ref="I4:K4"/>
    <mergeCell ref="L4:L6"/>
    <mergeCell ref="M4:U4"/>
    <mergeCell ref="V4:V6"/>
    <mergeCell ref="W4:W6"/>
    <mergeCell ref="I5:I6"/>
    <mergeCell ref="J5:J6"/>
    <mergeCell ref="K5:K6"/>
    <mergeCell ref="M5:M6"/>
    <mergeCell ref="T5:T6"/>
    <mergeCell ref="U5:U6"/>
    <mergeCell ref="A1:AB1"/>
    <mergeCell ref="A2:AB2"/>
    <mergeCell ref="A3:AA3"/>
    <mergeCell ref="A4:A6"/>
    <mergeCell ref="B4:B6"/>
    <mergeCell ref="C4:C6"/>
    <mergeCell ref="D4:D6"/>
    <mergeCell ref="E4:E6"/>
    <mergeCell ref="F4:F6"/>
    <mergeCell ref="G4:G6"/>
  </mergeCells>
  <phoneticPr fontId="15" type="noConversion"/>
  <pageMargins left="0.7" right="0.7" top="0.75" bottom="0.75" header="0.3" footer="0.3"/>
  <pageSetup paperSize="9" scale="37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EDE1-74CE-4C3E-A5E0-C37A19DB952E}">
  <dimension ref="A1:AA202"/>
  <sheetViews>
    <sheetView view="pageBreakPreview" topLeftCell="A2" zoomScale="50" zoomScaleNormal="52" zoomScaleSheetLayoutView="52" workbookViewId="0">
      <pane xSplit="1" ySplit="5" topLeftCell="B15" activePane="bottomRight" state="frozen"/>
      <selection activeCell="A2" sqref="A2"/>
      <selection pane="topRight" activeCell="B2" sqref="B2"/>
      <selection pane="bottomLeft" activeCell="A7" sqref="A7"/>
      <selection pane="bottomRight" activeCell="M24" sqref="M24"/>
    </sheetView>
  </sheetViews>
  <sheetFormatPr defaultColWidth="8.77734375" defaultRowHeight="13.8" x14ac:dyDescent="0.25"/>
  <cols>
    <col min="1" max="1" width="4.21875" style="1" customWidth="1"/>
    <col min="2" max="2" width="14.44140625" style="3" customWidth="1"/>
    <col min="3" max="3" width="15" style="43" customWidth="1"/>
    <col min="4" max="4" width="19.44140625" style="69" customWidth="1"/>
    <col min="5" max="6" width="12.77734375" style="1" customWidth="1"/>
    <col min="7" max="7" width="14.77734375" style="70" customWidth="1"/>
    <col min="8" max="8" width="8.44140625" style="70" customWidth="1"/>
    <col min="9" max="9" width="7" style="70" customWidth="1"/>
    <col min="10" max="10" width="10.44140625" style="70" customWidth="1"/>
    <col min="11" max="11" width="10.21875" style="70" customWidth="1"/>
    <col min="12" max="12" width="11.77734375" style="1" customWidth="1"/>
    <col min="13" max="13" width="11.6640625" style="1" customWidth="1"/>
    <col min="14" max="14" width="11.33203125" style="1" customWidth="1"/>
    <col min="15" max="15" width="10.21875" style="1" customWidth="1"/>
    <col min="16" max="16" width="10" style="1" customWidth="1"/>
    <col min="17" max="17" width="12.44140625" style="1" customWidth="1"/>
    <col min="18" max="18" width="13.21875" style="1" customWidth="1"/>
    <col min="19" max="19" width="12.21875" style="1" customWidth="1"/>
    <col min="20" max="20" width="13.44140625" style="1" customWidth="1"/>
    <col min="21" max="21" width="13.21875" style="1" customWidth="1"/>
    <col min="22" max="22" width="36" style="1" customWidth="1"/>
    <col min="23" max="23" width="9.21875" style="1" customWidth="1"/>
    <col min="24" max="24" width="3.6640625" style="1" customWidth="1"/>
    <col min="25" max="25" width="44.5546875" style="1" customWidth="1"/>
    <col min="26" max="16384" width="8.77734375" style="1"/>
  </cols>
  <sheetData>
    <row r="1" spans="1:25" ht="16.5" customHeight="1" x14ac:dyDescent="0.3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</row>
    <row r="2" spans="1:25" ht="16.5" customHeight="1" x14ac:dyDescent="0.3">
      <c r="A2" s="125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2"/>
    </row>
    <row r="3" spans="1:25" ht="12.6" customHeight="1" x14ac:dyDescent="0.3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3"/>
      <c r="X3" s="2"/>
    </row>
    <row r="4" spans="1:25" ht="29.25" customHeight="1" x14ac:dyDescent="0.25">
      <c r="A4" s="127" t="s">
        <v>2</v>
      </c>
      <c r="B4" s="120" t="s">
        <v>3</v>
      </c>
      <c r="C4" s="128" t="s">
        <v>4</v>
      </c>
      <c r="D4" s="120" t="s">
        <v>5</v>
      </c>
      <c r="E4" s="129" t="s">
        <v>6</v>
      </c>
      <c r="F4" s="121" t="s">
        <v>7</v>
      </c>
      <c r="G4" s="121" t="s">
        <v>8</v>
      </c>
      <c r="H4" s="121" t="s">
        <v>9</v>
      </c>
      <c r="I4" s="122" t="s">
        <v>10</v>
      </c>
      <c r="J4" s="123"/>
      <c r="K4" s="124"/>
      <c r="L4" s="120" t="s">
        <v>11</v>
      </c>
      <c r="M4" s="120"/>
      <c r="N4" s="120"/>
      <c r="O4" s="120"/>
      <c r="P4" s="120"/>
      <c r="Q4" s="120" t="s">
        <v>13</v>
      </c>
      <c r="R4" s="120" t="s">
        <v>14</v>
      </c>
      <c r="S4" s="132" t="s">
        <v>15</v>
      </c>
      <c r="T4" s="120" t="s">
        <v>16</v>
      </c>
      <c r="U4" s="120" t="s">
        <v>204</v>
      </c>
      <c r="V4" s="129" t="s">
        <v>17</v>
      </c>
      <c r="W4" s="120" t="s">
        <v>18</v>
      </c>
      <c r="Y4" s="130" t="s">
        <v>206</v>
      </c>
    </row>
    <row r="5" spans="1:25" ht="15" customHeight="1" x14ac:dyDescent="0.25">
      <c r="A5" s="127"/>
      <c r="B5" s="120"/>
      <c r="C5" s="128"/>
      <c r="D5" s="120"/>
      <c r="E5" s="129"/>
      <c r="F5" s="121"/>
      <c r="G5" s="121"/>
      <c r="H5" s="121"/>
      <c r="I5" s="133" t="s">
        <v>19</v>
      </c>
      <c r="J5" s="133" t="s">
        <v>20</v>
      </c>
      <c r="K5" s="135" t="s">
        <v>21</v>
      </c>
      <c r="L5" s="120"/>
      <c r="M5" s="121" t="s">
        <v>24</v>
      </c>
      <c r="N5" s="121" t="s">
        <v>261</v>
      </c>
      <c r="O5" s="120" t="s">
        <v>262</v>
      </c>
      <c r="P5" s="120" t="s">
        <v>263</v>
      </c>
      <c r="Q5" s="120"/>
      <c r="R5" s="120"/>
      <c r="S5" s="132"/>
      <c r="T5" s="120"/>
      <c r="U5" s="120"/>
      <c r="V5" s="129"/>
      <c r="W5" s="120"/>
      <c r="Y5" s="130"/>
    </row>
    <row r="6" spans="1:25" ht="28.05" customHeight="1" x14ac:dyDescent="0.25">
      <c r="A6" s="127"/>
      <c r="B6" s="120"/>
      <c r="C6" s="128"/>
      <c r="D6" s="120"/>
      <c r="E6" s="129"/>
      <c r="F6" s="121"/>
      <c r="G6" s="121"/>
      <c r="H6" s="121"/>
      <c r="I6" s="134"/>
      <c r="J6" s="134"/>
      <c r="K6" s="136"/>
      <c r="L6" s="120"/>
      <c r="M6" s="121"/>
      <c r="N6" s="121"/>
      <c r="O6" s="120"/>
      <c r="P6" s="120"/>
      <c r="Q6" s="120"/>
      <c r="R6" s="120"/>
      <c r="S6" s="132"/>
      <c r="T6" s="120"/>
      <c r="U6" s="120"/>
      <c r="V6" s="129"/>
      <c r="W6" s="120"/>
      <c r="Y6" s="130"/>
    </row>
    <row r="7" spans="1:25" s="8" customFormat="1" ht="12.6" customHeight="1" x14ac:dyDescent="0.3">
      <c r="A7" s="78" t="s">
        <v>30</v>
      </c>
      <c r="B7" s="4" t="s">
        <v>31</v>
      </c>
      <c r="C7" s="81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5">
        <v>11</v>
      </c>
      <c r="J7" s="5">
        <v>12</v>
      </c>
      <c r="K7" s="6" t="s">
        <v>38</v>
      </c>
      <c r="L7" s="7">
        <v>14</v>
      </c>
      <c r="M7" s="7">
        <v>15</v>
      </c>
      <c r="N7" s="7">
        <v>16</v>
      </c>
      <c r="O7" s="7">
        <v>17</v>
      </c>
      <c r="P7" s="7">
        <v>18</v>
      </c>
      <c r="Q7" s="7">
        <v>19</v>
      </c>
      <c r="R7" s="7">
        <v>20</v>
      </c>
      <c r="S7" s="7">
        <v>21</v>
      </c>
      <c r="T7" s="7">
        <v>22</v>
      </c>
      <c r="U7" s="7">
        <v>23</v>
      </c>
      <c r="V7" s="7">
        <v>24</v>
      </c>
      <c r="W7" s="7">
        <v>25</v>
      </c>
    </row>
    <row r="8" spans="1:25" s="17" customFormat="1" ht="52.5" customHeight="1" x14ac:dyDescent="0.3">
      <c r="A8" s="9">
        <v>1</v>
      </c>
      <c r="B8" s="91" t="s">
        <v>210</v>
      </c>
      <c r="C8" s="10" t="s">
        <v>211</v>
      </c>
      <c r="D8" s="10" t="s">
        <v>245</v>
      </c>
      <c r="E8" s="10" t="s">
        <v>271</v>
      </c>
      <c r="F8" s="9">
        <v>15</v>
      </c>
      <c r="G8" s="9">
        <v>2017</v>
      </c>
      <c r="H8" s="12">
        <v>5</v>
      </c>
      <c r="I8" s="12"/>
      <c r="J8" s="12">
        <v>5</v>
      </c>
      <c r="K8" s="13">
        <f>SUM(I8:J8)</f>
        <v>5</v>
      </c>
      <c r="L8" s="14"/>
      <c r="M8" s="14">
        <v>87500</v>
      </c>
      <c r="N8" s="14">
        <v>1225</v>
      </c>
      <c r="O8" s="14">
        <v>1</v>
      </c>
      <c r="P8" s="14">
        <v>3450</v>
      </c>
      <c r="Q8" s="14">
        <f>SUM(M8:N8)</f>
        <v>88725</v>
      </c>
      <c r="R8" s="15" t="s">
        <v>284</v>
      </c>
      <c r="S8" s="15" t="s">
        <v>272</v>
      </c>
      <c r="T8" s="15"/>
      <c r="U8" s="9"/>
      <c r="V8" s="71"/>
      <c r="W8" s="16" t="s">
        <v>282</v>
      </c>
    </row>
    <row r="9" spans="1:25" s="17" customFormat="1" ht="47.1" customHeight="1" x14ac:dyDescent="0.3">
      <c r="A9" s="9">
        <v>2</v>
      </c>
      <c r="B9" s="91" t="s">
        <v>210</v>
      </c>
      <c r="C9" s="10" t="s">
        <v>211</v>
      </c>
      <c r="D9" s="10" t="s">
        <v>246</v>
      </c>
      <c r="E9" s="10" t="s">
        <v>283</v>
      </c>
      <c r="F9" s="9">
        <v>18</v>
      </c>
      <c r="G9" s="9">
        <v>2023</v>
      </c>
      <c r="H9" s="12">
        <v>30</v>
      </c>
      <c r="I9" s="12"/>
      <c r="J9" s="12">
        <v>5</v>
      </c>
      <c r="K9" s="13">
        <f t="shared" ref="K9:K17" si="0">SUM(I9:J9)</f>
        <v>5</v>
      </c>
      <c r="L9" s="14"/>
      <c r="M9" s="14">
        <v>25000</v>
      </c>
      <c r="N9" s="14">
        <v>350</v>
      </c>
      <c r="O9" s="14">
        <v>1</v>
      </c>
      <c r="P9" s="14">
        <v>1000</v>
      </c>
      <c r="Q9" s="14">
        <f>SUM(M9:N9)</f>
        <v>25350</v>
      </c>
      <c r="R9" s="98" t="s">
        <v>286</v>
      </c>
      <c r="S9" s="15" t="s">
        <v>273</v>
      </c>
      <c r="T9" s="15"/>
      <c r="U9" s="9"/>
      <c r="V9" s="71"/>
      <c r="W9" s="16" t="s">
        <v>282</v>
      </c>
    </row>
    <row r="10" spans="1:25" s="17" customFormat="1" ht="47.1" customHeight="1" x14ac:dyDescent="0.3">
      <c r="A10" s="9">
        <v>3</v>
      </c>
      <c r="B10" s="116" t="s">
        <v>210</v>
      </c>
      <c r="C10" s="71" t="s">
        <v>211</v>
      </c>
      <c r="D10" s="71" t="s">
        <v>247</v>
      </c>
      <c r="E10" s="71" t="s">
        <v>269</v>
      </c>
      <c r="F10" s="9">
        <v>11</v>
      </c>
      <c r="G10" s="9">
        <v>2024</v>
      </c>
      <c r="H10" s="12">
        <v>10</v>
      </c>
      <c r="I10" s="12"/>
      <c r="J10" s="12">
        <v>5</v>
      </c>
      <c r="K10" s="13">
        <f>SUM(J10:J10)</f>
        <v>5</v>
      </c>
      <c r="L10" s="14"/>
      <c r="M10" s="14">
        <v>62500</v>
      </c>
      <c r="N10" s="14">
        <v>875</v>
      </c>
      <c r="O10" s="14">
        <v>1</v>
      </c>
      <c r="P10" s="14">
        <v>2500</v>
      </c>
      <c r="Q10" s="14">
        <f>SUM(M10:N10)</f>
        <v>63375</v>
      </c>
      <c r="R10" s="15" t="s">
        <v>284</v>
      </c>
      <c r="S10" s="15" t="s">
        <v>274</v>
      </c>
      <c r="T10" s="15"/>
      <c r="U10" s="9"/>
      <c r="V10" s="111"/>
      <c r="W10" s="16" t="s">
        <v>282</v>
      </c>
    </row>
    <row r="11" spans="1:25" s="17" customFormat="1" ht="47.1" customHeight="1" x14ac:dyDescent="0.3">
      <c r="A11" s="9">
        <v>4</v>
      </c>
      <c r="B11" s="116" t="s">
        <v>210</v>
      </c>
      <c r="C11" s="71" t="s">
        <v>211</v>
      </c>
      <c r="D11" s="71" t="s">
        <v>248</v>
      </c>
      <c r="E11" s="71" t="s">
        <v>270</v>
      </c>
      <c r="F11" s="9">
        <v>12</v>
      </c>
      <c r="G11" s="9">
        <v>2024</v>
      </c>
      <c r="H11" s="12">
        <v>10</v>
      </c>
      <c r="I11" s="12"/>
      <c r="J11" s="12">
        <v>5</v>
      </c>
      <c r="K11" s="13">
        <f t="shared" si="0"/>
        <v>5</v>
      </c>
      <c r="L11" s="14"/>
      <c r="M11" s="14">
        <v>50000</v>
      </c>
      <c r="N11" s="14">
        <v>700</v>
      </c>
      <c r="O11" s="14">
        <v>1</v>
      </c>
      <c r="P11" s="14">
        <v>2000</v>
      </c>
      <c r="Q11" s="14">
        <f>SUM(M11:N11)</f>
        <v>50700</v>
      </c>
      <c r="R11" s="15" t="s">
        <v>166</v>
      </c>
      <c r="S11" s="15" t="s">
        <v>275</v>
      </c>
      <c r="T11" s="15"/>
      <c r="U11" s="9"/>
      <c r="V11" s="119"/>
      <c r="W11" s="16" t="s">
        <v>282</v>
      </c>
    </row>
    <row r="12" spans="1:25" s="17" customFormat="1" ht="47.1" customHeight="1" x14ac:dyDescent="0.3">
      <c r="A12" s="9">
        <v>5</v>
      </c>
      <c r="B12" s="116" t="s">
        <v>210</v>
      </c>
      <c r="C12" s="71" t="s">
        <v>211</v>
      </c>
      <c r="D12" s="71" t="s">
        <v>249</v>
      </c>
      <c r="E12" s="71" t="s">
        <v>260</v>
      </c>
      <c r="F12" s="71"/>
      <c r="G12" s="90"/>
      <c r="H12" s="12"/>
      <c r="I12" s="12"/>
      <c r="J12" s="12"/>
      <c r="K12" s="13">
        <f t="shared" si="0"/>
        <v>0</v>
      </c>
      <c r="L12" s="14"/>
      <c r="M12" s="9">
        <v>25000</v>
      </c>
      <c r="N12" s="9">
        <v>350</v>
      </c>
      <c r="O12" s="9">
        <v>1</v>
      </c>
      <c r="P12" s="9">
        <v>1000</v>
      </c>
      <c r="Q12" s="14">
        <f>SUM(M12:N12)</f>
        <v>25350</v>
      </c>
      <c r="R12" s="15" t="s">
        <v>289</v>
      </c>
      <c r="S12" s="15" t="s">
        <v>276</v>
      </c>
      <c r="T12" s="15"/>
      <c r="U12" s="9"/>
      <c r="V12" s="119"/>
      <c r="W12" s="16" t="s">
        <v>282</v>
      </c>
    </row>
    <row r="13" spans="1:25" s="17" customFormat="1" ht="47.1" customHeight="1" x14ac:dyDescent="0.3">
      <c r="A13" s="9">
        <v>6</v>
      </c>
      <c r="B13" s="117" t="s">
        <v>78</v>
      </c>
      <c r="C13" s="71" t="s">
        <v>250</v>
      </c>
      <c r="D13" s="71" t="s">
        <v>251</v>
      </c>
      <c r="E13" s="71" t="s">
        <v>267</v>
      </c>
      <c r="F13" s="9">
        <v>10</v>
      </c>
      <c r="G13" s="9">
        <v>2024</v>
      </c>
      <c r="H13" s="12">
        <v>6</v>
      </c>
      <c r="I13" s="12"/>
      <c r="J13" s="12">
        <v>6</v>
      </c>
      <c r="K13" s="13">
        <f t="shared" si="0"/>
        <v>6</v>
      </c>
      <c r="L13" s="14"/>
      <c r="M13" s="14">
        <v>35000</v>
      </c>
      <c r="N13" s="14">
        <v>525</v>
      </c>
      <c r="O13" s="14">
        <v>1</v>
      </c>
      <c r="P13" s="14">
        <v>1750</v>
      </c>
      <c r="Q13" s="14">
        <f>SUM(M13:P13)</f>
        <v>37276</v>
      </c>
      <c r="R13" s="15" t="s">
        <v>289</v>
      </c>
      <c r="S13" s="15" t="s">
        <v>277</v>
      </c>
      <c r="T13" s="15"/>
      <c r="U13" s="9"/>
      <c r="V13" s="119"/>
      <c r="W13" s="16" t="s">
        <v>282</v>
      </c>
    </row>
    <row r="14" spans="1:25" s="29" customFormat="1" ht="47.1" customHeight="1" x14ac:dyDescent="0.3">
      <c r="A14" s="9">
        <v>7</v>
      </c>
      <c r="B14" s="117" t="s">
        <v>78</v>
      </c>
      <c r="C14" s="71" t="s">
        <v>252</v>
      </c>
      <c r="D14" s="71" t="s">
        <v>253</v>
      </c>
      <c r="E14" s="71" t="s">
        <v>266</v>
      </c>
      <c r="F14" s="18">
        <v>14</v>
      </c>
      <c r="G14" s="90">
        <v>2020</v>
      </c>
      <c r="H14" s="12">
        <v>6</v>
      </c>
      <c r="I14" s="12"/>
      <c r="J14" s="12">
        <v>6</v>
      </c>
      <c r="K14" s="13">
        <f t="shared" si="0"/>
        <v>6</v>
      </c>
      <c r="L14" s="14"/>
      <c r="M14" s="14">
        <v>15000</v>
      </c>
      <c r="N14" s="14">
        <v>225</v>
      </c>
      <c r="O14" s="14">
        <v>1</v>
      </c>
      <c r="P14" s="14">
        <v>750</v>
      </c>
      <c r="Q14" s="14">
        <f>SUM(M14:P14)</f>
        <v>15976</v>
      </c>
      <c r="R14" s="118" t="s">
        <v>287</v>
      </c>
      <c r="S14" s="15" t="s">
        <v>278</v>
      </c>
      <c r="T14" s="15"/>
      <c r="U14" s="9"/>
      <c r="V14" s="18"/>
      <c r="W14" s="16" t="s">
        <v>282</v>
      </c>
    </row>
    <row r="15" spans="1:25" s="29" customFormat="1" ht="47.1" customHeight="1" x14ac:dyDescent="0.3">
      <c r="A15" s="9">
        <v>8</v>
      </c>
      <c r="B15" s="117" t="s">
        <v>78</v>
      </c>
      <c r="C15" s="19" t="s">
        <v>255</v>
      </c>
      <c r="D15" s="71" t="s">
        <v>254</v>
      </c>
      <c r="E15" s="71" t="s">
        <v>264</v>
      </c>
      <c r="F15" s="10" t="s">
        <v>77</v>
      </c>
      <c r="G15" s="73">
        <v>2025</v>
      </c>
      <c r="H15" s="12">
        <v>8</v>
      </c>
      <c r="I15" s="12"/>
      <c r="J15" s="12">
        <v>2</v>
      </c>
      <c r="K15" s="13">
        <f t="shared" si="0"/>
        <v>2</v>
      </c>
      <c r="L15" s="14"/>
      <c r="M15" s="14">
        <v>15000</v>
      </c>
      <c r="N15" s="14">
        <v>225</v>
      </c>
      <c r="O15" s="14">
        <v>1</v>
      </c>
      <c r="P15" s="14">
        <v>750</v>
      </c>
      <c r="Q15" s="14">
        <f>SUM(M15:P15)</f>
        <v>15976</v>
      </c>
      <c r="R15" s="15" t="s">
        <v>144</v>
      </c>
      <c r="S15" s="15" t="s">
        <v>279</v>
      </c>
      <c r="T15" s="15"/>
      <c r="U15" s="9"/>
      <c r="V15" s="71"/>
      <c r="W15" s="16" t="s">
        <v>282</v>
      </c>
    </row>
    <row r="16" spans="1:25" s="36" customFormat="1" ht="43.05" customHeight="1" x14ac:dyDescent="0.3">
      <c r="A16" s="9">
        <v>9</v>
      </c>
      <c r="B16" s="117" t="s">
        <v>78</v>
      </c>
      <c r="C16" s="71" t="s">
        <v>256</v>
      </c>
      <c r="D16" s="71" t="s">
        <v>257</v>
      </c>
      <c r="E16" s="71" t="s">
        <v>268</v>
      </c>
      <c r="F16" s="71"/>
      <c r="G16" s="90"/>
      <c r="H16" s="12"/>
      <c r="I16" s="12"/>
      <c r="J16" s="12"/>
      <c r="K16" s="13">
        <f t="shared" si="0"/>
        <v>0</v>
      </c>
      <c r="L16" s="14"/>
      <c r="M16" s="14">
        <v>25000</v>
      </c>
      <c r="N16" s="14">
        <v>375</v>
      </c>
      <c r="O16" s="14">
        <v>1</v>
      </c>
      <c r="P16" s="14">
        <v>1250</v>
      </c>
      <c r="Q16" s="14">
        <f>SUM(M16:N16)</f>
        <v>25375</v>
      </c>
      <c r="R16" s="15" t="s">
        <v>288</v>
      </c>
      <c r="S16" s="15" t="s">
        <v>280</v>
      </c>
      <c r="T16" s="15"/>
      <c r="U16" s="98"/>
      <c r="V16" s="71"/>
      <c r="W16" s="16" t="s">
        <v>282</v>
      </c>
      <c r="Y16" s="31" t="s">
        <v>152</v>
      </c>
    </row>
    <row r="17" spans="1:27" s="17" customFormat="1" ht="47.1" customHeight="1" x14ac:dyDescent="0.3">
      <c r="A17" s="9">
        <v>10</v>
      </c>
      <c r="B17" s="117" t="s">
        <v>78</v>
      </c>
      <c r="C17" s="71" t="s">
        <v>258</v>
      </c>
      <c r="D17" s="71" t="s">
        <v>259</v>
      </c>
      <c r="E17" s="71" t="s">
        <v>265</v>
      </c>
      <c r="F17" s="9">
        <v>12</v>
      </c>
      <c r="G17" s="9">
        <v>2023</v>
      </c>
      <c r="H17" s="12">
        <v>4</v>
      </c>
      <c r="I17" s="12"/>
      <c r="J17" s="12">
        <v>4</v>
      </c>
      <c r="K17" s="13">
        <f t="shared" si="0"/>
        <v>4</v>
      </c>
      <c r="L17" s="14"/>
      <c r="M17" s="14">
        <v>10000</v>
      </c>
      <c r="N17" s="14">
        <v>150</v>
      </c>
      <c r="O17" s="14">
        <v>1</v>
      </c>
      <c r="P17" s="14">
        <v>550</v>
      </c>
      <c r="Q17" s="14">
        <f>SUM(M17:N17)</f>
        <v>10150</v>
      </c>
      <c r="R17" s="15" t="s">
        <v>285</v>
      </c>
      <c r="S17" s="15" t="s">
        <v>281</v>
      </c>
      <c r="T17" s="15"/>
      <c r="U17" s="9"/>
      <c r="V17" s="71"/>
      <c r="W17" s="16" t="s">
        <v>282</v>
      </c>
    </row>
    <row r="18" spans="1:27" s="17" customFormat="1" ht="47.1" customHeight="1" x14ac:dyDescent="0.3">
      <c r="A18" s="9"/>
      <c r="B18" s="21"/>
      <c r="C18" s="10"/>
      <c r="D18" s="16"/>
      <c r="E18" s="16"/>
      <c r="F18" s="9"/>
      <c r="G18" s="9"/>
      <c r="H18" s="12"/>
      <c r="I18" s="12"/>
      <c r="J18" s="12"/>
      <c r="K18" s="13"/>
      <c r="L18" s="14"/>
      <c r="M18" s="14"/>
      <c r="N18" s="14"/>
      <c r="O18" s="14"/>
      <c r="P18" s="14"/>
      <c r="Q18" s="14"/>
      <c r="R18" s="15"/>
      <c r="S18" s="15"/>
      <c r="T18" s="15"/>
      <c r="U18" s="20"/>
      <c r="V18" s="16"/>
      <c r="W18" s="16"/>
    </row>
    <row r="19" spans="1:27" s="43" customFormat="1" ht="16.5" customHeight="1" x14ac:dyDescent="0.25">
      <c r="A19" s="80"/>
      <c r="B19" s="131" t="s">
        <v>98</v>
      </c>
      <c r="C19" s="131"/>
      <c r="D19" s="131"/>
      <c r="E19" s="40"/>
      <c r="F19" s="40"/>
      <c r="G19" s="41"/>
      <c r="H19" s="42">
        <f t="shared" ref="H19:Q19" si="1">SUM(H8:H18)</f>
        <v>79</v>
      </c>
      <c r="I19" s="42">
        <f t="shared" si="1"/>
        <v>0</v>
      </c>
      <c r="J19" s="42">
        <f t="shared" si="1"/>
        <v>38</v>
      </c>
      <c r="K19" s="42">
        <f t="shared" si="1"/>
        <v>38</v>
      </c>
      <c r="L19" s="42">
        <f t="shared" si="1"/>
        <v>0</v>
      </c>
      <c r="M19" s="42">
        <f t="shared" si="1"/>
        <v>350000</v>
      </c>
      <c r="N19" s="42">
        <f t="shared" si="1"/>
        <v>5000</v>
      </c>
      <c r="O19" s="42">
        <f t="shared" si="1"/>
        <v>10</v>
      </c>
      <c r="P19" s="42">
        <f t="shared" si="1"/>
        <v>15000</v>
      </c>
      <c r="Q19" s="42">
        <f t="shared" si="1"/>
        <v>358253</v>
      </c>
      <c r="R19" s="40"/>
      <c r="S19" s="40"/>
      <c r="T19" s="40"/>
      <c r="U19" s="40"/>
      <c r="V19" s="131"/>
      <c r="W19" s="131"/>
      <c r="X19" s="1"/>
    </row>
    <row r="20" spans="1:27" s="43" customFormat="1" ht="15" customHeight="1" x14ac:dyDescent="0.25">
      <c r="A20" s="1"/>
      <c r="B20" s="83"/>
      <c r="C20" s="44"/>
      <c r="D20" s="45"/>
      <c r="E20" s="46"/>
      <c r="F20" s="46"/>
      <c r="G20" s="47"/>
      <c r="H20" s="47"/>
      <c r="I20" s="47"/>
      <c r="J20" s="47"/>
      <c r="K20" s="4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7" s="49" customFormat="1" ht="15" customHeight="1" x14ac:dyDescent="0.25">
      <c r="A21" s="48"/>
      <c r="C21" s="50"/>
      <c r="E21" s="51"/>
      <c r="F21" s="52"/>
      <c r="G21" s="52"/>
      <c r="H21" s="52"/>
      <c r="I21" s="52"/>
      <c r="J21" s="53"/>
      <c r="K21" s="52"/>
      <c r="L21" s="52"/>
      <c r="M21" s="52"/>
      <c r="N21" s="52"/>
      <c r="O21" s="52"/>
      <c r="P21" s="52" t="s">
        <v>99</v>
      </c>
      <c r="Q21" s="52"/>
      <c r="R21" s="52" t="s">
        <v>100</v>
      </c>
      <c r="U21" s="54"/>
      <c r="V21" s="54"/>
      <c r="W21" s="54"/>
      <c r="X21" s="54"/>
      <c r="Y21" s="48"/>
      <c r="Z21" s="48"/>
      <c r="AA21" s="48"/>
    </row>
    <row r="22" spans="1:27" s="49" customFormat="1" ht="15" customHeight="1" x14ac:dyDescent="0.25">
      <c r="A22" s="48"/>
      <c r="B22" s="55" t="s">
        <v>101</v>
      </c>
      <c r="C22" s="56"/>
      <c r="D22" s="55"/>
      <c r="F22" s="57" t="s">
        <v>290</v>
      </c>
      <c r="G22" s="58"/>
      <c r="H22" s="52"/>
      <c r="I22" s="52"/>
      <c r="J22" s="59">
        <f>M19</f>
        <v>350000</v>
      </c>
      <c r="K22" s="52"/>
      <c r="L22" s="52"/>
      <c r="N22" s="52"/>
      <c r="O22" s="52"/>
      <c r="P22" s="61">
        <f>J22*80%/3</f>
        <v>93333.333333333328</v>
      </c>
      <c r="Q22" s="61"/>
      <c r="R22" s="61">
        <f>J22*70%/3</f>
        <v>81666.666666666657</v>
      </c>
      <c r="U22" s="54"/>
      <c r="V22" s="54"/>
      <c r="W22" s="54"/>
      <c r="X22" s="54"/>
      <c r="Y22" s="48"/>
      <c r="Z22" s="48"/>
      <c r="AA22" s="48"/>
    </row>
    <row r="23" spans="1:27" s="49" customFormat="1" ht="15" customHeight="1" x14ac:dyDescent="0.25">
      <c r="A23" s="48"/>
      <c r="B23" s="55" t="s">
        <v>104</v>
      </c>
      <c r="C23" s="56"/>
      <c r="D23" s="55"/>
      <c r="F23" s="57" t="s">
        <v>291</v>
      </c>
      <c r="G23" s="58"/>
      <c r="H23" s="58"/>
      <c r="I23" s="58"/>
      <c r="J23" s="59">
        <f>N19</f>
        <v>5000</v>
      </c>
      <c r="K23" s="58"/>
      <c r="L23" s="52"/>
      <c r="N23" s="52"/>
      <c r="O23" s="52"/>
      <c r="P23" s="61">
        <f>J23*80%/3</f>
        <v>1333.3333333333333</v>
      </c>
      <c r="Q23" s="61"/>
      <c r="R23" s="61">
        <f>J23*70%/3</f>
        <v>1166.6666666666667</v>
      </c>
      <c r="U23" s="54"/>
      <c r="V23" s="54"/>
      <c r="W23" s="54"/>
      <c r="X23" s="54"/>
      <c r="Y23" s="48"/>
      <c r="Z23" s="48"/>
      <c r="AA23" s="48"/>
    </row>
    <row r="24" spans="1:27" s="49" customFormat="1" ht="15" customHeight="1" x14ac:dyDescent="0.25">
      <c r="A24" s="48"/>
      <c r="B24" s="55" t="s">
        <v>107</v>
      </c>
      <c r="C24" s="56"/>
      <c r="D24" s="55"/>
      <c r="F24" s="57"/>
      <c r="G24" s="58"/>
      <c r="H24" s="58"/>
      <c r="I24" s="58"/>
      <c r="J24" s="59"/>
      <c r="K24" s="58"/>
      <c r="L24" s="52"/>
      <c r="N24" s="52"/>
      <c r="O24" s="52"/>
      <c r="P24" s="61">
        <f>J24*80%/10</f>
        <v>0</v>
      </c>
      <c r="Q24" s="61"/>
      <c r="R24" s="61">
        <f>J24*70%/10</f>
        <v>0</v>
      </c>
      <c r="U24" s="54"/>
      <c r="V24" s="54"/>
      <c r="W24" s="54"/>
      <c r="X24" s="54"/>
      <c r="Y24" s="48"/>
      <c r="Z24" s="48"/>
      <c r="AA24" s="48"/>
    </row>
    <row r="25" spans="1:27" s="49" customFormat="1" ht="15" customHeight="1" x14ac:dyDescent="0.25">
      <c r="A25" s="48"/>
      <c r="B25" s="84" t="s">
        <v>110</v>
      </c>
      <c r="C25" s="62"/>
      <c r="D25" s="63"/>
      <c r="F25" s="57" t="s">
        <v>111</v>
      </c>
      <c r="G25" s="64"/>
      <c r="H25" s="64"/>
      <c r="I25" s="64"/>
      <c r="J25" s="59">
        <f>P19</f>
        <v>15000</v>
      </c>
      <c r="K25" s="64"/>
      <c r="L25" s="58">
        <f>J25*30</f>
        <v>450000</v>
      </c>
      <c r="N25" s="52"/>
      <c r="O25" s="52"/>
      <c r="P25" s="65">
        <f>SUM(P22:P24)</f>
        <v>94666.666666666657</v>
      </c>
      <c r="Q25" s="65"/>
      <c r="R25" s="65">
        <f>SUM(R22:R24)</f>
        <v>82833.333333333328</v>
      </c>
      <c r="U25" s="54"/>
      <c r="V25" s="54"/>
      <c r="W25" s="54"/>
      <c r="X25" s="54"/>
      <c r="Y25" s="48"/>
      <c r="Z25" s="48"/>
      <c r="AA25" s="48"/>
    </row>
    <row r="26" spans="1:27" s="43" customFormat="1" ht="14.55" customHeight="1" x14ac:dyDescent="0.25">
      <c r="A26" s="1"/>
      <c r="B26" s="85"/>
      <c r="C26" s="66"/>
      <c r="D26" s="67"/>
      <c r="E26" s="68"/>
      <c r="F26" s="68"/>
      <c r="G26" s="47"/>
      <c r="H26" s="47"/>
      <c r="I26" s="47"/>
      <c r="J26" s="47"/>
      <c r="K26" s="4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7" s="43" customFormat="1" ht="11.25" customHeight="1" x14ac:dyDescent="0.25">
      <c r="A27" s="1"/>
      <c r="B27" s="85"/>
      <c r="C27" s="66"/>
      <c r="D27" s="67"/>
      <c r="E27" s="68"/>
      <c r="F27" s="68"/>
      <c r="G27" s="47"/>
      <c r="H27" s="47"/>
      <c r="I27" s="47"/>
      <c r="J27" s="47"/>
      <c r="K27" s="4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7" s="43" customFormat="1" ht="11.25" customHeight="1" x14ac:dyDescent="0.25">
      <c r="A28" s="1"/>
      <c r="B28" s="83"/>
      <c r="C28" s="44"/>
      <c r="D28" s="45"/>
      <c r="E28" s="46"/>
      <c r="F28" s="46"/>
      <c r="G28" s="47"/>
      <c r="H28" s="47"/>
      <c r="I28" s="47"/>
      <c r="J28" s="47"/>
      <c r="K28" s="4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49" spans="1:24" s="43" customFormat="1" ht="11.25" customHeight="1" x14ac:dyDescent="0.25">
      <c r="A49" s="1"/>
      <c r="B49" s="3"/>
      <c r="D49" s="69"/>
      <c r="E49" s="1"/>
      <c r="F49" s="1"/>
      <c r="G49" s="70"/>
      <c r="H49" s="70"/>
      <c r="I49" s="70"/>
      <c r="J49" s="70"/>
      <c r="K49" s="7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s="43" customFormat="1" ht="11.25" customHeight="1" x14ac:dyDescent="0.25">
      <c r="A50" s="1"/>
      <c r="B50" s="3"/>
      <c r="D50" s="69"/>
      <c r="E50" s="1"/>
      <c r="F50" s="1"/>
      <c r="G50" s="70"/>
      <c r="H50" s="70"/>
      <c r="I50" s="70"/>
      <c r="J50" s="70"/>
      <c r="K50" s="7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s="43" customFormat="1" ht="11.25" customHeight="1" x14ac:dyDescent="0.25">
      <c r="A51" s="1"/>
      <c r="B51" s="3"/>
      <c r="D51" s="69"/>
      <c r="E51" s="1"/>
      <c r="F51" s="1"/>
      <c r="G51" s="70"/>
      <c r="H51" s="70"/>
      <c r="I51" s="70"/>
      <c r="J51" s="70"/>
      <c r="K51" s="7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s="43" customFormat="1" ht="11.25" customHeight="1" x14ac:dyDescent="0.25">
      <c r="A52" s="1"/>
      <c r="B52" s="3"/>
      <c r="D52" s="69"/>
      <c r="E52" s="1"/>
      <c r="F52" s="1"/>
      <c r="G52" s="70"/>
      <c r="H52" s="70"/>
      <c r="I52" s="70"/>
      <c r="J52" s="70"/>
      <c r="K52" s="7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s="43" customFormat="1" ht="11.25" customHeight="1" x14ac:dyDescent="0.25">
      <c r="A53" s="1"/>
      <c r="B53" s="3"/>
      <c r="D53" s="69"/>
      <c r="E53" s="1"/>
      <c r="F53" s="1"/>
      <c r="G53" s="70"/>
      <c r="H53" s="70"/>
      <c r="I53" s="70"/>
      <c r="J53" s="70"/>
      <c r="K53" s="7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s="43" customFormat="1" ht="11.25" customHeight="1" x14ac:dyDescent="0.25">
      <c r="A54" s="1"/>
      <c r="B54" s="3"/>
      <c r="D54" s="69"/>
      <c r="E54" s="1"/>
      <c r="F54" s="1"/>
      <c r="G54" s="70"/>
      <c r="H54" s="70"/>
      <c r="I54" s="70"/>
      <c r="J54" s="70"/>
      <c r="K54" s="7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s="43" customFormat="1" ht="11.25" customHeight="1" x14ac:dyDescent="0.25">
      <c r="A55" s="1"/>
      <c r="B55" s="3"/>
      <c r="D55" s="69"/>
      <c r="E55" s="1"/>
      <c r="F55" s="1"/>
      <c r="G55" s="70"/>
      <c r="H55" s="70"/>
      <c r="I55" s="70"/>
      <c r="J55" s="70"/>
      <c r="K55" s="7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s="43" customFormat="1" ht="11.25" customHeight="1" x14ac:dyDescent="0.25">
      <c r="A56" s="1"/>
      <c r="B56" s="3"/>
      <c r="D56" s="69"/>
      <c r="E56" s="1"/>
      <c r="F56" s="1"/>
      <c r="G56" s="70"/>
      <c r="H56" s="70"/>
      <c r="I56" s="70"/>
      <c r="J56" s="70"/>
      <c r="K56" s="7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s="43" customFormat="1" ht="11.25" customHeight="1" x14ac:dyDescent="0.25">
      <c r="A57" s="1"/>
      <c r="B57" s="3"/>
      <c r="D57" s="69"/>
      <c r="E57" s="1"/>
      <c r="F57" s="1"/>
      <c r="G57" s="70"/>
      <c r="H57" s="70"/>
      <c r="I57" s="70"/>
      <c r="J57" s="70"/>
      <c r="K57" s="7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s="43" customFormat="1" ht="11.25" customHeight="1" x14ac:dyDescent="0.25">
      <c r="A58" s="1"/>
      <c r="B58" s="3"/>
      <c r="D58" s="69"/>
      <c r="E58" s="1"/>
      <c r="F58" s="1"/>
      <c r="G58" s="70"/>
      <c r="H58" s="70"/>
      <c r="I58" s="70"/>
      <c r="J58" s="70"/>
      <c r="K58" s="7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s="43" customFormat="1" ht="11.25" customHeight="1" x14ac:dyDescent="0.25">
      <c r="A59" s="1"/>
      <c r="B59" s="3"/>
      <c r="D59" s="69"/>
      <c r="E59" s="1"/>
      <c r="F59" s="1"/>
      <c r="G59" s="70"/>
      <c r="H59" s="70"/>
      <c r="I59" s="70"/>
      <c r="J59" s="70"/>
      <c r="K59" s="7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s="43" customFormat="1" ht="11.25" customHeight="1" x14ac:dyDescent="0.25">
      <c r="A60" s="1"/>
      <c r="B60" s="3"/>
      <c r="D60" s="69"/>
      <c r="E60" s="1"/>
      <c r="F60" s="1"/>
      <c r="G60" s="70"/>
      <c r="H60" s="70"/>
      <c r="I60" s="70"/>
      <c r="J60" s="70"/>
      <c r="K60" s="7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s="43" customFormat="1" ht="11.25" customHeight="1" x14ac:dyDescent="0.25">
      <c r="A61" s="1"/>
      <c r="B61" s="3"/>
      <c r="D61" s="69"/>
      <c r="E61" s="1"/>
      <c r="F61" s="1"/>
      <c r="G61" s="70"/>
      <c r="H61" s="70"/>
      <c r="I61" s="70"/>
      <c r="J61" s="70"/>
      <c r="K61" s="7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s="43" customFormat="1" ht="11.25" customHeight="1" x14ac:dyDescent="0.25">
      <c r="A62" s="1"/>
      <c r="B62" s="3"/>
      <c r="D62" s="69"/>
      <c r="E62" s="1"/>
      <c r="F62" s="1"/>
      <c r="G62" s="70"/>
      <c r="H62" s="70"/>
      <c r="I62" s="70"/>
      <c r="J62" s="70"/>
      <c r="K62" s="7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s="43" customFormat="1" ht="11.25" customHeight="1" x14ac:dyDescent="0.25">
      <c r="A63" s="1"/>
      <c r="B63" s="3"/>
      <c r="D63" s="69"/>
      <c r="E63" s="1"/>
      <c r="F63" s="1"/>
      <c r="G63" s="70"/>
      <c r="H63" s="70"/>
      <c r="I63" s="70"/>
      <c r="J63" s="70"/>
      <c r="K63" s="7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s="43" customFormat="1" ht="11.25" customHeight="1" x14ac:dyDescent="0.25">
      <c r="A64" s="1"/>
      <c r="B64" s="3"/>
      <c r="D64" s="69"/>
      <c r="E64" s="1"/>
      <c r="F64" s="1"/>
      <c r="G64" s="70"/>
      <c r="H64" s="70"/>
      <c r="I64" s="70"/>
      <c r="J64" s="70"/>
      <c r="K64" s="7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s="43" customFormat="1" ht="11.25" customHeight="1" x14ac:dyDescent="0.25">
      <c r="A65" s="1"/>
      <c r="B65" s="3"/>
      <c r="D65" s="69"/>
      <c r="E65" s="1"/>
      <c r="F65" s="1"/>
      <c r="G65" s="70"/>
      <c r="H65" s="70"/>
      <c r="I65" s="70"/>
      <c r="J65" s="70"/>
      <c r="K65" s="7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s="43" customFormat="1" ht="11.25" customHeight="1" x14ac:dyDescent="0.25">
      <c r="A66" s="1"/>
      <c r="B66" s="3"/>
      <c r="D66" s="69"/>
      <c r="E66" s="1"/>
      <c r="F66" s="1"/>
      <c r="G66" s="70"/>
      <c r="H66" s="70"/>
      <c r="I66" s="70"/>
      <c r="J66" s="70"/>
      <c r="K66" s="7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s="43" customFormat="1" ht="11.25" customHeight="1" x14ac:dyDescent="0.25">
      <c r="A67" s="1"/>
      <c r="B67" s="3"/>
      <c r="D67" s="69"/>
      <c r="E67" s="1"/>
      <c r="F67" s="1"/>
      <c r="G67" s="70"/>
      <c r="H67" s="70"/>
      <c r="I67" s="70"/>
      <c r="J67" s="70"/>
      <c r="K67" s="7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s="43" customFormat="1" ht="11.25" customHeight="1" x14ac:dyDescent="0.25">
      <c r="A68" s="1"/>
      <c r="B68" s="3"/>
      <c r="D68" s="69"/>
      <c r="E68" s="1"/>
      <c r="F68" s="1"/>
      <c r="G68" s="70"/>
      <c r="H68" s="70"/>
      <c r="I68" s="70"/>
      <c r="J68" s="70"/>
      <c r="K68" s="7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s="43" customFormat="1" ht="11.25" customHeight="1" x14ac:dyDescent="0.25">
      <c r="A69" s="1"/>
      <c r="B69" s="3"/>
      <c r="D69" s="69"/>
      <c r="E69" s="1"/>
      <c r="F69" s="1"/>
      <c r="G69" s="70"/>
      <c r="H69" s="70"/>
      <c r="I69" s="70"/>
      <c r="J69" s="70"/>
      <c r="K69" s="7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s="43" customFormat="1" ht="11.25" customHeight="1" x14ac:dyDescent="0.25">
      <c r="A70" s="1"/>
      <c r="B70" s="3"/>
      <c r="D70" s="69"/>
      <c r="E70" s="1"/>
      <c r="F70" s="1"/>
      <c r="G70" s="70"/>
      <c r="H70" s="70"/>
      <c r="I70" s="70"/>
      <c r="J70" s="70"/>
      <c r="K70" s="7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s="43" customFormat="1" ht="11.25" customHeight="1" x14ac:dyDescent="0.25">
      <c r="A71" s="1"/>
      <c r="B71" s="3"/>
      <c r="D71" s="69"/>
      <c r="E71" s="1"/>
      <c r="F71" s="1"/>
      <c r="G71" s="70"/>
      <c r="H71" s="70"/>
      <c r="I71" s="70"/>
      <c r="J71" s="70"/>
      <c r="K71" s="7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s="43" customFormat="1" ht="11.25" customHeight="1" x14ac:dyDescent="0.25">
      <c r="A72" s="1"/>
      <c r="B72" s="3"/>
      <c r="D72" s="69"/>
      <c r="E72" s="1"/>
      <c r="F72" s="1"/>
      <c r="G72" s="70"/>
      <c r="H72" s="70"/>
      <c r="I72" s="70"/>
      <c r="J72" s="70"/>
      <c r="K72" s="7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s="43" customFormat="1" ht="11.25" customHeight="1" x14ac:dyDescent="0.25">
      <c r="A73" s="1"/>
      <c r="B73" s="3"/>
      <c r="D73" s="69"/>
      <c r="E73" s="1"/>
      <c r="F73" s="1"/>
      <c r="G73" s="70"/>
      <c r="H73" s="70"/>
      <c r="I73" s="70"/>
      <c r="J73" s="70"/>
      <c r="K73" s="7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s="43" customFormat="1" ht="11.25" customHeight="1" x14ac:dyDescent="0.25">
      <c r="A74" s="1"/>
      <c r="B74" s="3"/>
      <c r="D74" s="69"/>
      <c r="E74" s="1"/>
      <c r="F74" s="1"/>
      <c r="G74" s="70"/>
      <c r="H74" s="70"/>
      <c r="I74" s="70"/>
      <c r="J74" s="70"/>
      <c r="K74" s="7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s="43" customFormat="1" ht="11.25" customHeight="1" x14ac:dyDescent="0.25">
      <c r="A75" s="1"/>
      <c r="B75" s="3"/>
      <c r="D75" s="69"/>
      <c r="E75" s="1"/>
      <c r="F75" s="1"/>
      <c r="G75" s="70"/>
      <c r="H75" s="70"/>
      <c r="I75" s="70"/>
      <c r="J75" s="70"/>
      <c r="K75" s="7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s="43" customFormat="1" ht="11.25" customHeight="1" x14ac:dyDescent="0.25">
      <c r="A76" s="1"/>
      <c r="B76" s="3"/>
      <c r="D76" s="69"/>
      <c r="E76" s="1"/>
      <c r="F76" s="1"/>
      <c r="G76" s="70"/>
      <c r="H76" s="70"/>
      <c r="I76" s="70"/>
      <c r="J76" s="70"/>
      <c r="K76" s="7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s="43" customFormat="1" ht="11.25" customHeight="1" x14ac:dyDescent="0.25">
      <c r="A77" s="1"/>
      <c r="B77" s="3"/>
      <c r="D77" s="69"/>
      <c r="E77" s="1"/>
      <c r="F77" s="1"/>
      <c r="G77" s="70"/>
      <c r="H77" s="70"/>
      <c r="I77" s="70"/>
      <c r="J77" s="70"/>
      <c r="K77" s="7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s="43" customFormat="1" ht="11.25" customHeight="1" x14ac:dyDescent="0.25">
      <c r="A78" s="1"/>
      <c r="B78" s="3"/>
      <c r="D78" s="69"/>
      <c r="E78" s="1"/>
      <c r="F78" s="1"/>
      <c r="G78" s="70"/>
      <c r="H78" s="70"/>
      <c r="I78" s="70"/>
      <c r="J78" s="70"/>
      <c r="K78" s="7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s="43" customFormat="1" ht="11.25" customHeight="1" x14ac:dyDescent="0.25">
      <c r="A79" s="1"/>
      <c r="B79" s="3"/>
      <c r="D79" s="69"/>
      <c r="E79" s="1"/>
      <c r="F79" s="1"/>
      <c r="G79" s="70"/>
      <c r="H79" s="70"/>
      <c r="I79" s="70"/>
      <c r="J79" s="70"/>
      <c r="K79" s="7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s="43" customFormat="1" ht="11.25" customHeight="1" x14ac:dyDescent="0.25">
      <c r="A80" s="1"/>
      <c r="B80" s="3"/>
      <c r="D80" s="69"/>
      <c r="E80" s="1"/>
      <c r="F80" s="1"/>
      <c r="G80" s="70"/>
      <c r="H80" s="70"/>
      <c r="I80" s="70"/>
      <c r="J80" s="70"/>
      <c r="K80" s="7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s="43" customFormat="1" ht="11.25" customHeight="1" x14ac:dyDescent="0.25">
      <c r="A81" s="1"/>
      <c r="B81" s="3"/>
      <c r="D81" s="69"/>
      <c r="E81" s="1"/>
      <c r="F81" s="1"/>
      <c r="G81" s="70"/>
      <c r="H81" s="70"/>
      <c r="I81" s="70"/>
      <c r="J81" s="70"/>
      <c r="K81" s="7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s="43" customFormat="1" ht="11.25" customHeight="1" x14ac:dyDescent="0.25">
      <c r="A82" s="1"/>
      <c r="B82" s="3"/>
      <c r="D82" s="69"/>
      <c r="E82" s="1"/>
      <c r="F82" s="1"/>
      <c r="G82" s="70"/>
      <c r="H82" s="70"/>
      <c r="I82" s="70"/>
      <c r="J82" s="70"/>
      <c r="K82" s="7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s="43" customFormat="1" ht="11.25" customHeight="1" x14ac:dyDescent="0.25">
      <c r="A83" s="1"/>
      <c r="B83" s="3"/>
      <c r="D83" s="69"/>
      <c r="E83" s="1"/>
      <c r="F83" s="1"/>
      <c r="G83" s="70"/>
      <c r="H83" s="70"/>
      <c r="I83" s="70"/>
      <c r="J83" s="70"/>
      <c r="K83" s="7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s="43" customFormat="1" ht="11.25" customHeight="1" x14ac:dyDescent="0.25">
      <c r="A84" s="1"/>
      <c r="B84" s="3"/>
      <c r="D84" s="69"/>
      <c r="E84" s="1"/>
      <c r="F84" s="1"/>
      <c r="G84" s="70"/>
      <c r="H84" s="70"/>
      <c r="I84" s="70"/>
      <c r="J84" s="70"/>
      <c r="K84" s="7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s="43" customFormat="1" ht="11.25" customHeight="1" x14ac:dyDescent="0.25">
      <c r="A85" s="1"/>
      <c r="B85" s="3"/>
      <c r="D85" s="69"/>
      <c r="E85" s="1"/>
      <c r="F85" s="1"/>
      <c r="G85" s="70"/>
      <c r="H85" s="70"/>
      <c r="I85" s="70"/>
      <c r="J85" s="70"/>
      <c r="K85" s="7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s="43" customFormat="1" ht="11.25" customHeight="1" x14ac:dyDescent="0.25">
      <c r="A86" s="1"/>
      <c r="B86" s="3"/>
      <c r="D86" s="69"/>
      <c r="E86" s="1"/>
      <c r="F86" s="1"/>
      <c r="G86" s="70"/>
      <c r="H86" s="70"/>
      <c r="I86" s="70"/>
      <c r="J86" s="70"/>
      <c r="K86" s="7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s="43" customFormat="1" ht="11.25" customHeight="1" x14ac:dyDescent="0.25">
      <c r="A87" s="1"/>
      <c r="B87" s="3"/>
      <c r="D87" s="69"/>
      <c r="E87" s="1"/>
      <c r="F87" s="1"/>
      <c r="G87" s="70"/>
      <c r="H87" s="70"/>
      <c r="I87" s="70"/>
      <c r="J87" s="70"/>
      <c r="K87" s="7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s="43" customFormat="1" ht="11.25" customHeight="1" x14ac:dyDescent="0.25">
      <c r="A88" s="1"/>
      <c r="B88" s="3"/>
      <c r="D88" s="69"/>
      <c r="E88" s="1"/>
      <c r="F88" s="1"/>
      <c r="G88" s="70"/>
      <c r="H88" s="70"/>
      <c r="I88" s="70"/>
      <c r="J88" s="70"/>
      <c r="K88" s="7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s="43" customFormat="1" ht="11.25" customHeight="1" x14ac:dyDescent="0.25">
      <c r="A89" s="1"/>
      <c r="B89" s="3"/>
      <c r="D89" s="69"/>
      <c r="E89" s="1"/>
      <c r="F89" s="1"/>
      <c r="G89" s="70"/>
      <c r="H89" s="70"/>
      <c r="I89" s="70"/>
      <c r="J89" s="70"/>
      <c r="K89" s="7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s="43" customFormat="1" ht="11.25" customHeight="1" x14ac:dyDescent="0.25">
      <c r="A90" s="1"/>
      <c r="B90" s="3"/>
      <c r="D90" s="69"/>
      <c r="E90" s="1"/>
      <c r="F90" s="1"/>
      <c r="G90" s="70"/>
      <c r="H90" s="70"/>
      <c r="I90" s="70"/>
      <c r="J90" s="70"/>
      <c r="K90" s="7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s="43" customFormat="1" ht="11.25" customHeight="1" x14ac:dyDescent="0.25">
      <c r="A91" s="1"/>
      <c r="B91" s="3"/>
      <c r="D91" s="69"/>
      <c r="E91" s="1"/>
      <c r="F91" s="1"/>
      <c r="G91" s="70"/>
      <c r="H91" s="70"/>
      <c r="I91" s="70"/>
      <c r="J91" s="70"/>
      <c r="K91" s="7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s="43" customFormat="1" ht="11.25" customHeight="1" x14ac:dyDescent="0.25">
      <c r="A92" s="1"/>
      <c r="B92" s="3"/>
      <c r="D92" s="69"/>
      <c r="E92" s="1"/>
      <c r="F92" s="1"/>
      <c r="G92" s="70"/>
      <c r="H92" s="70"/>
      <c r="I92" s="70"/>
      <c r="J92" s="70"/>
      <c r="K92" s="7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s="43" customFormat="1" ht="11.25" customHeight="1" x14ac:dyDescent="0.25">
      <c r="A93" s="1"/>
      <c r="B93" s="3"/>
      <c r="D93" s="69"/>
      <c r="E93" s="1"/>
      <c r="F93" s="1"/>
      <c r="G93" s="70"/>
      <c r="H93" s="70"/>
      <c r="I93" s="70"/>
      <c r="J93" s="70"/>
      <c r="K93" s="7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s="43" customFormat="1" ht="11.25" customHeight="1" x14ac:dyDescent="0.25">
      <c r="A94" s="1"/>
      <c r="B94" s="3"/>
      <c r="D94" s="69"/>
      <c r="E94" s="1"/>
      <c r="F94" s="1"/>
      <c r="G94" s="70"/>
      <c r="H94" s="70"/>
      <c r="I94" s="70"/>
      <c r="J94" s="70"/>
      <c r="K94" s="7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s="43" customFormat="1" ht="11.25" customHeight="1" x14ac:dyDescent="0.25">
      <c r="A95" s="1"/>
      <c r="B95" s="3"/>
      <c r="D95" s="69"/>
      <c r="E95" s="1"/>
      <c r="F95" s="1"/>
      <c r="G95" s="70"/>
      <c r="H95" s="70"/>
      <c r="I95" s="70"/>
      <c r="J95" s="70"/>
      <c r="K95" s="7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s="43" customFormat="1" ht="11.25" customHeight="1" x14ac:dyDescent="0.25">
      <c r="A96" s="1"/>
      <c r="B96" s="3"/>
      <c r="D96" s="69"/>
      <c r="E96" s="1"/>
      <c r="F96" s="1"/>
      <c r="G96" s="70"/>
      <c r="H96" s="70"/>
      <c r="I96" s="70"/>
      <c r="J96" s="70"/>
      <c r="K96" s="7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s="43" customFormat="1" ht="11.25" customHeight="1" x14ac:dyDescent="0.25">
      <c r="A97" s="1"/>
      <c r="B97" s="3"/>
      <c r="D97" s="69"/>
      <c r="E97" s="1"/>
      <c r="F97" s="1"/>
      <c r="G97" s="70"/>
      <c r="H97" s="70"/>
      <c r="I97" s="70"/>
      <c r="J97" s="70"/>
      <c r="K97" s="7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s="43" customFormat="1" ht="11.25" customHeight="1" x14ac:dyDescent="0.25">
      <c r="A98" s="1"/>
      <c r="B98" s="3"/>
      <c r="D98" s="69"/>
      <c r="E98" s="1"/>
      <c r="F98" s="1"/>
      <c r="G98" s="70"/>
      <c r="H98" s="70"/>
      <c r="I98" s="70"/>
      <c r="J98" s="70"/>
      <c r="K98" s="7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s="43" customFormat="1" ht="11.25" customHeight="1" x14ac:dyDescent="0.25">
      <c r="A99" s="1"/>
      <c r="B99" s="3"/>
      <c r="D99" s="69"/>
      <c r="E99" s="1"/>
      <c r="F99" s="1"/>
      <c r="G99" s="70"/>
      <c r="H99" s="70"/>
      <c r="I99" s="70"/>
      <c r="J99" s="70"/>
      <c r="K99" s="7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s="43" customFormat="1" ht="11.25" customHeight="1" x14ac:dyDescent="0.25">
      <c r="A100" s="1"/>
      <c r="B100" s="3"/>
      <c r="D100" s="69"/>
      <c r="E100" s="1"/>
      <c r="F100" s="1"/>
      <c r="G100" s="70"/>
      <c r="H100" s="70"/>
      <c r="I100" s="70"/>
      <c r="J100" s="70"/>
      <c r="K100" s="7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s="43" customFormat="1" ht="11.25" customHeight="1" x14ac:dyDescent="0.25">
      <c r="A101" s="1"/>
      <c r="B101" s="3"/>
      <c r="D101" s="69"/>
      <c r="E101" s="1"/>
      <c r="F101" s="1"/>
      <c r="G101" s="70"/>
      <c r="H101" s="70"/>
      <c r="I101" s="70"/>
      <c r="J101" s="70"/>
      <c r="K101" s="7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s="43" customFormat="1" ht="11.25" customHeight="1" x14ac:dyDescent="0.25">
      <c r="A102" s="1"/>
      <c r="B102" s="3"/>
      <c r="D102" s="69"/>
      <c r="E102" s="1"/>
      <c r="F102" s="1"/>
      <c r="G102" s="70"/>
      <c r="H102" s="70"/>
      <c r="I102" s="70"/>
      <c r="J102" s="70"/>
      <c r="K102" s="7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s="43" customFormat="1" ht="11.25" customHeight="1" x14ac:dyDescent="0.25">
      <c r="A103" s="1"/>
      <c r="B103" s="3"/>
      <c r="D103" s="69"/>
      <c r="E103" s="1"/>
      <c r="F103" s="1"/>
      <c r="G103" s="70"/>
      <c r="H103" s="70"/>
      <c r="I103" s="70"/>
      <c r="J103" s="70"/>
      <c r="K103" s="7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s="43" customFormat="1" ht="11.25" customHeight="1" x14ac:dyDescent="0.25">
      <c r="A104" s="1"/>
      <c r="B104" s="3"/>
      <c r="D104" s="69"/>
      <c r="E104" s="1"/>
      <c r="F104" s="1"/>
      <c r="G104" s="70"/>
      <c r="H104" s="70"/>
      <c r="I104" s="70"/>
      <c r="J104" s="70"/>
      <c r="K104" s="7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s="43" customFormat="1" ht="11.25" customHeight="1" x14ac:dyDescent="0.25">
      <c r="A105" s="1"/>
      <c r="B105" s="3"/>
      <c r="D105" s="69"/>
      <c r="E105" s="1"/>
      <c r="F105" s="1"/>
      <c r="G105" s="70"/>
      <c r="H105" s="70"/>
      <c r="I105" s="70"/>
      <c r="J105" s="70"/>
      <c r="K105" s="7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s="43" customFormat="1" ht="11.25" customHeight="1" x14ac:dyDescent="0.25">
      <c r="A106" s="1"/>
      <c r="B106" s="3"/>
      <c r="D106" s="69"/>
      <c r="E106" s="1"/>
      <c r="F106" s="1"/>
      <c r="G106" s="70"/>
      <c r="H106" s="70"/>
      <c r="I106" s="70"/>
      <c r="J106" s="70"/>
      <c r="K106" s="7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s="43" customFormat="1" ht="11.25" customHeight="1" x14ac:dyDescent="0.25">
      <c r="A107" s="1"/>
      <c r="B107" s="3"/>
      <c r="D107" s="69"/>
      <c r="E107" s="1"/>
      <c r="F107" s="1"/>
      <c r="G107" s="70"/>
      <c r="H107" s="70"/>
      <c r="I107" s="70"/>
      <c r="J107" s="70"/>
      <c r="K107" s="7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s="43" customFormat="1" ht="11.25" customHeight="1" x14ac:dyDescent="0.25">
      <c r="A108" s="1"/>
      <c r="B108" s="3"/>
      <c r="D108" s="69"/>
      <c r="E108" s="1"/>
      <c r="F108" s="1"/>
      <c r="G108" s="70"/>
      <c r="H108" s="70"/>
      <c r="I108" s="70"/>
      <c r="J108" s="70"/>
      <c r="K108" s="7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s="43" customFormat="1" ht="11.25" customHeight="1" x14ac:dyDescent="0.25">
      <c r="A109" s="1"/>
      <c r="B109" s="3"/>
      <c r="D109" s="69"/>
      <c r="E109" s="1"/>
      <c r="F109" s="1"/>
      <c r="G109" s="70"/>
      <c r="H109" s="70"/>
      <c r="I109" s="70"/>
      <c r="J109" s="70"/>
      <c r="K109" s="7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s="43" customFormat="1" ht="11.25" customHeight="1" x14ac:dyDescent="0.25">
      <c r="A110" s="1"/>
      <c r="B110" s="3"/>
      <c r="D110" s="69"/>
      <c r="E110" s="1"/>
      <c r="F110" s="1"/>
      <c r="G110" s="70"/>
      <c r="H110" s="70"/>
      <c r="I110" s="70"/>
      <c r="J110" s="70"/>
      <c r="K110" s="7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s="43" customFormat="1" ht="11.25" customHeight="1" x14ac:dyDescent="0.25">
      <c r="A111" s="1"/>
      <c r="B111" s="3"/>
      <c r="D111" s="69"/>
      <c r="E111" s="1"/>
      <c r="F111" s="1"/>
      <c r="G111" s="70"/>
      <c r="H111" s="70"/>
      <c r="I111" s="70"/>
      <c r="J111" s="70"/>
      <c r="K111" s="7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s="43" customFormat="1" ht="11.25" customHeight="1" x14ac:dyDescent="0.25">
      <c r="A112" s="1"/>
      <c r="B112" s="3"/>
      <c r="D112" s="69"/>
      <c r="E112" s="1"/>
      <c r="F112" s="1"/>
      <c r="G112" s="70"/>
      <c r="H112" s="70"/>
      <c r="I112" s="70"/>
      <c r="J112" s="70"/>
      <c r="K112" s="7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s="43" customFormat="1" ht="11.25" customHeight="1" x14ac:dyDescent="0.25">
      <c r="A113" s="1"/>
      <c r="B113" s="3"/>
      <c r="D113" s="69"/>
      <c r="E113" s="1"/>
      <c r="F113" s="1"/>
      <c r="G113" s="70"/>
      <c r="H113" s="70"/>
      <c r="I113" s="70"/>
      <c r="J113" s="70"/>
      <c r="K113" s="7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s="43" customFormat="1" ht="11.25" customHeight="1" x14ac:dyDescent="0.25">
      <c r="A114" s="1"/>
      <c r="B114" s="3"/>
      <c r="D114" s="69"/>
      <c r="E114" s="1"/>
      <c r="F114" s="1"/>
      <c r="G114" s="70"/>
      <c r="H114" s="70"/>
      <c r="I114" s="70"/>
      <c r="J114" s="70"/>
      <c r="K114" s="7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s="43" customFormat="1" ht="11.25" customHeight="1" x14ac:dyDescent="0.25">
      <c r="A115" s="1"/>
      <c r="B115" s="3"/>
      <c r="D115" s="69"/>
      <c r="E115" s="1"/>
      <c r="F115" s="1"/>
      <c r="G115" s="70"/>
      <c r="H115" s="70"/>
      <c r="I115" s="70"/>
      <c r="J115" s="70"/>
      <c r="K115" s="7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s="43" customFormat="1" ht="11.25" customHeight="1" x14ac:dyDescent="0.25">
      <c r="A116" s="1"/>
      <c r="B116" s="3"/>
      <c r="D116" s="69"/>
      <c r="E116" s="1"/>
      <c r="F116" s="1"/>
      <c r="G116" s="70"/>
      <c r="H116" s="70"/>
      <c r="I116" s="70"/>
      <c r="J116" s="70"/>
      <c r="K116" s="7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s="43" customFormat="1" ht="11.25" customHeight="1" x14ac:dyDescent="0.25">
      <c r="A117" s="1"/>
      <c r="B117" s="3"/>
      <c r="D117" s="69"/>
      <c r="E117" s="1"/>
      <c r="F117" s="1"/>
      <c r="G117" s="70"/>
      <c r="H117" s="70"/>
      <c r="I117" s="70"/>
      <c r="J117" s="70"/>
      <c r="K117" s="7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s="43" customFormat="1" ht="11.25" customHeight="1" x14ac:dyDescent="0.25">
      <c r="A118" s="1"/>
      <c r="B118" s="3"/>
      <c r="D118" s="69"/>
      <c r="E118" s="1"/>
      <c r="F118" s="1"/>
      <c r="G118" s="70"/>
      <c r="H118" s="70"/>
      <c r="I118" s="70"/>
      <c r="J118" s="70"/>
      <c r="K118" s="7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s="43" customFormat="1" ht="11.25" customHeight="1" x14ac:dyDescent="0.25">
      <c r="A119" s="1"/>
      <c r="B119" s="3"/>
      <c r="D119" s="69"/>
      <c r="E119" s="1"/>
      <c r="F119" s="1"/>
      <c r="G119" s="70"/>
      <c r="H119" s="70"/>
      <c r="I119" s="70"/>
      <c r="J119" s="70"/>
      <c r="K119" s="7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s="43" customFormat="1" ht="11.25" customHeight="1" x14ac:dyDescent="0.25">
      <c r="A120" s="1"/>
      <c r="B120" s="3"/>
      <c r="D120" s="69"/>
      <c r="E120" s="1"/>
      <c r="F120" s="1"/>
      <c r="G120" s="70"/>
      <c r="H120" s="70"/>
      <c r="I120" s="70"/>
      <c r="J120" s="70"/>
      <c r="K120" s="7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s="43" customFormat="1" ht="11.25" customHeight="1" x14ac:dyDescent="0.25">
      <c r="A121" s="1"/>
      <c r="B121" s="3"/>
      <c r="D121" s="69"/>
      <c r="E121" s="1"/>
      <c r="F121" s="1"/>
      <c r="G121" s="70"/>
      <c r="H121" s="70"/>
      <c r="I121" s="70"/>
      <c r="J121" s="70"/>
      <c r="K121" s="7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s="43" customFormat="1" ht="11.25" customHeight="1" x14ac:dyDescent="0.25">
      <c r="A122" s="1"/>
      <c r="B122" s="3"/>
      <c r="D122" s="69"/>
      <c r="E122" s="1"/>
      <c r="F122" s="1"/>
      <c r="G122" s="70"/>
      <c r="H122" s="70"/>
      <c r="I122" s="70"/>
      <c r="J122" s="70"/>
      <c r="K122" s="7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s="43" customFormat="1" ht="11.25" customHeight="1" x14ac:dyDescent="0.25">
      <c r="A123" s="1"/>
      <c r="B123" s="3"/>
      <c r="D123" s="69"/>
      <c r="E123" s="1"/>
      <c r="F123" s="1"/>
      <c r="G123" s="70"/>
      <c r="H123" s="70"/>
      <c r="I123" s="70"/>
      <c r="J123" s="70"/>
      <c r="K123" s="7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s="43" customFormat="1" ht="11.25" customHeight="1" x14ac:dyDescent="0.25">
      <c r="A124" s="1"/>
      <c r="B124" s="3"/>
      <c r="D124" s="69"/>
      <c r="E124" s="1"/>
      <c r="F124" s="1"/>
      <c r="G124" s="70"/>
      <c r="H124" s="70"/>
      <c r="I124" s="70"/>
      <c r="J124" s="70"/>
      <c r="K124" s="7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s="43" customFormat="1" ht="11.25" customHeight="1" x14ac:dyDescent="0.25">
      <c r="A125" s="1"/>
      <c r="B125" s="3"/>
      <c r="D125" s="69"/>
      <c r="E125" s="1"/>
      <c r="F125" s="1"/>
      <c r="G125" s="70"/>
      <c r="H125" s="70"/>
      <c r="I125" s="70"/>
      <c r="J125" s="70"/>
      <c r="K125" s="7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s="43" customFormat="1" ht="11.25" customHeight="1" x14ac:dyDescent="0.25">
      <c r="A126" s="1"/>
      <c r="B126" s="3"/>
      <c r="D126" s="69"/>
      <c r="E126" s="1"/>
      <c r="F126" s="1"/>
      <c r="G126" s="70"/>
      <c r="H126" s="70"/>
      <c r="I126" s="70"/>
      <c r="J126" s="70"/>
      <c r="K126" s="7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s="43" customFormat="1" ht="11.25" customHeight="1" x14ac:dyDescent="0.25">
      <c r="A127" s="1"/>
      <c r="B127" s="3"/>
      <c r="D127" s="69"/>
      <c r="E127" s="1"/>
      <c r="F127" s="1"/>
      <c r="G127" s="70"/>
      <c r="H127" s="70"/>
      <c r="I127" s="70"/>
      <c r="J127" s="70"/>
      <c r="K127" s="7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s="43" customFormat="1" ht="11.25" customHeight="1" x14ac:dyDescent="0.25">
      <c r="A128" s="1"/>
      <c r="B128" s="3"/>
      <c r="D128" s="69"/>
      <c r="E128" s="1"/>
      <c r="F128" s="1"/>
      <c r="G128" s="70"/>
      <c r="H128" s="70"/>
      <c r="I128" s="70"/>
      <c r="J128" s="70"/>
      <c r="K128" s="7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s="43" customFormat="1" ht="11.25" customHeight="1" x14ac:dyDescent="0.25">
      <c r="A129" s="1"/>
      <c r="B129" s="3"/>
      <c r="D129" s="69"/>
      <c r="E129" s="1"/>
      <c r="F129" s="1"/>
      <c r="G129" s="70"/>
      <c r="H129" s="70"/>
      <c r="I129" s="70"/>
      <c r="J129" s="70"/>
      <c r="K129" s="7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s="43" customFormat="1" ht="11.25" customHeight="1" x14ac:dyDescent="0.25">
      <c r="A130" s="1"/>
      <c r="B130" s="3"/>
      <c r="D130" s="69"/>
      <c r="E130" s="1"/>
      <c r="F130" s="1"/>
      <c r="G130" s="70"/>
      <c r="H130" s="70"/>
      <c r="I130" s="70"/>
      <c r="J130" s="70"/>
      <c r="K130" s="7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s="43" customFormat="1" ht="11.25" customHeight="1" x14ac:dyDescent="0.25">
      <c r="A131" s="1"/>
      <c r="B131" s="3"/>
      <c r="D131" s="69"/>
      <c r="E131" s="1"/>
      <c r="F131" s="1"/>
      <c r="G131" s="70"/>
      <c r="H131" s="70"/>
      <c r="I131" s="70"/>
      <c r="J131" s="70"/>
      <c r="K131" s="7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s="43" customFormat="1" ht="11.25" customHeight="1" x14ac:dyDescent="0.25">
      <c r="A132" s="1"/>
      <c r="B132" s="3"/>
      <c r="D132" s="69"/>
      <c r="E132" s="1"/>
      <c r="F132" s="1"/>
      <c r="G132" s="70"/>
      <c r="H132" s="70"/>
      <c r="I132" s="70"/>
      <c r="J132" s="70"/>
      <c r="K132" s="7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s="43" customFormat="1" ht="11.25" customHeight="1" x14ac:dyDescent="0.25">
      <c r="A133" s="1"/>
      <c r="B133" s="3"/>
      <c r="D133" s="69"/>
      <c r="E133" s="1"/>
      <c r="F133" s="1"/>
      <c r="G133" s="70"/>
      <c r="H133" s="70"/>
      <c r="I133" s="70"/>
      <c r="J133" s="70"/>
      <c r="K133" s="7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s="43" customFormat="1" ht="11.25" customHeight="1" x14ac:dyDescent="0.25">
      <c r="A134" s="1"/>
      <c r="B134" s="3"/>
      <c r="D134" s="69"/>
      <c r="E134" s="1"/>
      <c r="F134" s="1"/>
      <c r="G134" s="70"/>
      <c r="H134" s="70"/>
      <c r="I134" s="70"/>
      <c r="J134" s="70"/>
      <c r="K134" s="7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s="43" customFormat="1" ht="11.25" customHeight="1" x14ac:dyDescent="0.25">
      <c r="A135" s="1"/>
      <c r="B135" s="3"/>
      <c r="D135" s="69"/>
      <c r="E135" s="1"/>
      <c r="F135" s="1"/>
      <c r="G135" s="70"/>
      <c r="H135" s="70"/>
      <c r="I135" s="70"/>
      <c r="J135" s="70"/>
      <c r="K135" s="7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s="43" customFormat="1" ht="11.25" customHeight="1" x14ac:dyDescent="0.25">
      <c r="A136" s="1"/>
      <c r="B136" s="3"/>
      <c r="D136" s="69"/>
      <c r="E136" s="1"/>
      <c r="F136" s="1"/>
      <c r="G136" s="70"/>
      <c r="H136" s="70"/>
      <c r="I136" s="70"/>
      <c r="J136" s="70"/>
      <c r="K136" s="7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s="43" customFormat="1" ht="11.25" customHeight="1" x14ac:dyDescent="0.25">
      <c r="A137" s="1"/>
      <c r="B137" s="3"/>
      <c r="D137" s="69"/>
      <c r="E137" s="1"/>
      <c r="F137" s="1"/>
      <c r="G137" s="70"/>
      <c r="H137" s="70"/>
      <c r="I137" s="70"/>
      <c r="J137" s="70"/>
      <c r="K137" s="7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s="43" customFormat="1" ht="11.25" customHeight="1" x14ac:dyDescent="0.25">
      <c r="A138" s="1"/>
      <c r="B138" s="3"/>
      <c r="D138" s="69"/>
      <c r="E138" s="1"/>
      <c r="F138" s="1"/>
      <c r="G138" s="70"/>
      <c r="H138" s="70"/>
      <c r="I138" s="70"/>
      <c r="J138" s="70"/>
      <c r="K138" s="7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s="43" customFormat="1" ht="11.25" customHeight="1" x14ac:dyDescent="0.25">
      <c r="A139" s="1"/>
      <c r="B139" s="3"/>
      <c r="D139" s="69"/>
      <c r="E139" s="1"/>
      <c r="F139" s="1"/>
      <c r="G139" s="70"/>
      <c r="H139" s="70"/>
      <c r="I139" s="70"/>
      <c r="J139" s="70"/>
      <c r="K139" s="7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s="43" customFormat="1" ht="11.25" customHeight="1" x14ac:dyDescent="0.25">
      <c r="A140" s="1"/>
      <c r="B140" s="3"/>
      <c r="D140" s="69"/>
      <c r="E140" s="1"/>
      <c r="F140" s="1"/>
      <c r="G140" s="70"/>
      <c r="H140" s="70"/>
      <c r="I140" s="70"/>
      <c r="J140" s="70"/>
      <c r="K140" s="7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s="43" customFormat="1" ht="11.25" customHeight="1" x14ac:dyDescent="0.25">
      <c r="A141" s="1"/>
      <c r="B141" s="3"/>
      <c r="D141" s="69"/>
      <c r="E141" s="1"/>
      <c r="F141" s="1"/>
      <c r="G141" s="70"/>
      <c r="H141" s="70"/>
      <c r="I141" s="70"/>
      <c r="J141" s="70"/>
      <c r="K141" s="7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s="43" customFormat="1" ht="11.25" customHeight="1" x14ac:dyDescent="0.25">
      <c r="A142" s="1"/>
      <c r="B142" s="3"/>
      <c r="D142" s="69"/>
      <c r="E142" s="1"/>
      <c r="F142" s="1"/>
      <c r="G142" s="70"/>
      <c r="H142" s="70"/>
      <c r="I142" s="70"/>
      <c r="J142" s="70"/>
      <c r="K142" s="7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s="43" customFormat="1" ht="11.25" customHeight="1" x14ac:dyDescent="0.25">
      <c r="A143" s="1"/>
      <c r="B143" s="3"/>
      <c r="D143" s="69"/>
      <c r="E143" s="1"/>
      <c r="F143" s="1"/>
      <c r="G143" s="70"/>
      <c r="H143" s="70"/>
      <c r="I143" s="70"/>
      <c r="J143" s="70"/>
      <c r="K143" s="7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s="43" customFormat="1" ht="11.25" customHeight="1" x14ac:dyDescent="0.25">
      <c r="A144" s="1"/>
      <c r="B144" s="3"/>
      <c r="D144" s="69"/>
      <c r="E144" s="1"/>
      <c r="F144" s="1"/>
      <c r="G144" s="70"/>
      <c r="H144" s="70"/>
      <c r="I144" s="70"/>
      <c r="J144" s="70"/>
      <c r="K144" s="7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s="43" customFormat="1" ht="11.25" customHeight="1" x14ac:dyDescent="0.25">
      <c r="A145" s="1"/>
      <c r="B145" s="3"/>
      <c r="D145" s="69"/>
      <c r="E145" s="1"/>
      <c r="F145" s="1"/>
      <c r="G145" s="70"/>
      <c r="H145" s="70"/>
      <c r="I145" s="70"/>
      <c r="J145" s="70"/>
      <c r="K145" s="7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s="43" customFormat="1" ht="11.25" customHeight="1" x14ac:dyDescent="0.25">
      <c r="A146" s="1"/>
      <c r="B146" s="3"/>
      <c r="D146" s="69"/>
      <c r="E146" s="1"/>
      <c r="F146" s="1"/>
      <c r="G146" s="70"/>
      <c r="H146" s="70"/>
      <c r="I146" s="70"/>
      <c r="J146" s="70"/>
      <c r="K146" s="7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s="43" customFormat="1" ht="11.25" customHeight="1" x14ac:dyDescent="0.25">
      <c r="A147" s="1"/>
      <c r="B147" s="3"/>
      <c r="D147" s="69"/>
      <c r="E147" s="1"/>
      <c r="F147" s="1"/>
      <c r="G147" s="70"/>
      <c r="H147" s="70"/>
      <c r="I147" s="70"/>
      <c r="J147" s="70"/>
      <c r="K147" s="7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s="43" customFormat="1" ht="11.25" customHeight="1" x14ac:dyDescent="0.25">
      <c r="A148" s="1"/>
      <c r="B148" s="3"/>
      <c r="D148" s="69"/>
      <c r="E148" s="1"/>
      <c r="F148" s="1"/>
      <c r="G148" s="70"/>
      <c r="H148" s="70"/>
      <c r="I148" s="70"/>
      <c r="J148" s="70"/>
      <c r="K148" s="7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s="43" customFormat="1" ht="11.25" customHeight="1" x14ac:dyDescent="0.25">
      <c r="A149" s="1"/>
      <c r="B149" s="3"/>
      <c r="D149" s="69"/>
      <c r="E149" s="1"/>
      <c r="F149" s="1"/>
      <c r="G149" s="70"/>
      <c r="H149" s="70"/>
      <c r="I149" s="70"/>
      <c r="J149" s="70"/>
      <c r="K149" s="7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s="43" customFormat="1" ht="11.25" customHeight="1" x14ac:dyDescent="0.25">
      <c r="A150" s="1"/>
      <c r="B150" s="3"/>
      <c r="D150" s="69"/>
      <c r="E150" s="1"/>
      <c r="F150" s="1"/>
      <c r="G150" s="70"/>
      <c r="H150" s="70"/>
      <c r="I150" s="70"/>
      <c r="J150" s="70"/>
      <c r="K150" s="7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s="43" customFormat="1" ht="11.25" customHeight="1" x14ac:dyDescent="0.25">
      <c r="A151" s="1"/>
      <c r="B151" s="3"/>
      <c r="D151" s="69"/>
      <c r="E151" s="1"/>
      <c r="F151" s="1"/>
      <c r="G151" s="70"/>
      <c r="H151" s="70"/>
      <c r="I151" s="70"/>
      <c r="J151" s="70"/>
      <c r="K151" s="7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s="43" customFormat="1" ht="11.25" customHeight="1" x14ac:dyDescent="0.25">
      <c r="A152" s="1"/>
      <c r="B152" s="3"/>
      <c r="D152" s="69"/>
      <c r="E152" s="1"/>
      <c r="F152" s="1"/>
      <c r="G152" s="70"/>
      <c r="H152" s="70"/>
      <c r="I152" s="70"/>
      <c r="J152" s="70"/>
      <c r="K152" s="7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s="43" customFormat="1" ht="11.25" customHeight="1" x14ac:dyDescent="0.25">
      <c r="A153" s="1"/>
      <c r="B153" s="3"/>
      <c r="D153" s="69"/>
      <c r="E153" s="1"/>
      <c r="F153" s="1"/>
      <c r="G153" s="70"/>
      <c r="H153" s="70"/>
      <c r="I153" s="70"/>
      <c r="J153" s="70"/>
      <c r="K153" s="7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s="43" customFormat="1" ht="11.25" customHeight="1" x14ac:dyDescent="0.25">
      <c r="A154" s="1"/>
      <c r="B154" s="3"/>
      <c r="D154" s="69"/>
      <c r="E154" s="1"/>
      <c r="F154" s="1"/>
      <c r="G154" s="70"/>
      <c r="H154" s="70"/>
      <c r="I154" s="70"/>
      <c r="J154" s="70"/>
      <c r="K154" s="7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s="43" customFormat="1" ht="11.25" customHeight="1" x14ac:dyDescent="0.25">
      <c r="A155" s="1"/>
      <c r="B155" s="3"/>
      <c r="D155" s="69"/>
      <c r="E155" s="1"/>
      <c r="F155" s="1"/>
      <c r="G155" s="70"/>
      <c r="H155" s="70"/>
      <c r="I155" s="70"/>
      <c r="J155" s="70"/>
      <c r="K155" s="7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s="43" customFormat="1" ht="11.25" customHeight="1" x14ac:dyDescent="0.25">
      <c r="A156" s="1"/>
      <c r="B156" s="3"/>
      <c r="D156" s="69"/>
      <c r="E156" s="1"/>
      <c r="F156" s="1"/>
      <c r="G156" s="70"/>
      <c r="H156" s="70"/>
      <c r="I156" s="70"/>
      <c r="J156" s="70"/>
      <c r="K156" s="7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s="43" customFormat="1" ht="11.25" customHeight="1" x14ac:dyDescent="0.25">
      <c r="A157" s="1"/>
      <c r="B157" s="3"/>
      <c r="D157" s="69"/>
      <c r="E157" s="1"/>
      <c r="F157" s="1"/>
      <c r="G157" s="70"/>
      <c r="H157" s="70"/>
      <c r="I157" s="70"/>
      <c r="J157" s="70"/>
      <c r="K157" s="7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s="43" customFormat="1" ht="11.25" customHeight="1" x14ac:dyDescent="0.25">
      <c r="A158" s="1"/>
      <c r="B158" s="3"/>
      <c r="D158" s="69"/>
      <c r="E158" s="1"/>
      <c r="F158" s="1"/>
      <c r="G158" s="70"/>
      <c r="H158" s="70"/>
      <c r="I158" s="70"/>
      <c r="J158" s="70"/>
      <c r="K158" s="7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s="43" customFormat="1" ht="11.25" customHeight="1" x14ac:dyDescent="0.25">
      <c r="A159" s="1"/>
      <c r="B159" s="3"/>
      <c r="D159" s="69"/>
      <c r="E159" s="1"/>
      <c r="F159" s="1"/>
      <c r="G159" s="70"/>
      <c r="H159" s="70"/>
      <c r="I159" s="70"/>
      <c r="J159" s="70"/>
      <c r="K159" s="7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s="43" customFormat="1" ht="11.25" customHeight="1" x14ac:dyDescent="0.25">
      <c r="A160" s="1"/>
      <c r="B160" s="3"/>
      <c r="D160" s="69"/>
      <c r="E160" s="1"/>
      <c r="F160" s="1"/>
      <c r="G160" s="70"/>
      <c r="H160" s="70"/>
      <c r="I160" s="70"/>
      <c r="J160" s="70"/>
      <c r="K160" s="7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s="43" customFormat="1" ht="11.25" customHeight="1" x14ac:dyDescent="0.25">
      <c r="A161" s="1"/>
      <c r="B161" s="3"/>
      <c r="D161" s="69"/>
      <c r="E161" s="1"/>
      <c r="F161" s="1"/>
      <c r="G161" s="70"/>
      <c r="H161" s="70"/>
      <c r="I161" s="70"/>
      <c r="J161" s="70"/>
      <c r="K161" s="7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s="43" customFormat="1" ht="11.25" customHeight="1" x14ac:dyDescent="0.25">
      <c r="A162" s="1"/>
      <c r="B162" s="3"/>
      <c r="D162" s="69"/>
      <c r="E162" s="1"/>
      <c r="F162" s="1"/>
      <c r="G162" s="70"/>
      <c r="H162" s="70"/>
      <c r="I162" s="70"/>
      <c r="J162" s="70"/>
      <c r="K162" s="7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s="43" customFormat="1" ht="11.25" customHeight="1" x14ac:dyDescent="0.25">
      <c r="A163" s="1"/>
      <c r="B163" s="3"/>
      <c r="D163" s="69"/>
      <c r="E163" s="1"/>
      <c r="F163" s="1"/>
      <c r="G163" s="70"/>
      <c r="H163" s="70"/>
      <c r="I163" s="70"/>
      <c r="J163" s="70"/>
      <c r="K163" s="7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s="43" customFormat="1" ht="11.25" customHeight="1" x14ac:dyDescent="0.25">
      <c r="A164" s="1"/>
      <c r="B164" s="3"/>
      <c r="D164" s="69"/>
      <c r="E164" s="1"/>
      <c r="F164" s="1"/>
      <c r="G164" s="70"/>
      <c r="H164" s="70"/>
      <c r="I164" s="70"/>
      <c r="J164" s="70"/>
      <c r="K164" s="7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s="43" customFormat="1" ht="11.25" customHeight="1" x14ac:dyDescent="0.25">
      <c r="A165" s="1"/>
      <c r="B165" s="3"/>
      <c r="D165" s="69"/>
      <c r="E165" s="1"/>
      <c r="F165" s="1"/>
      <c r="G165" s="70"/>
      <c r="H165" s="70"/>
      <c r="I165" s="70"/>
      <c r="J165" s="70"/>
      <c r="K165" s="7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s="43" customFormat="1" ht="11.25" customHeight="1" x14ac:dyDescent="0.25">
      <c r="A166" s="1"/>
      <c r="B166" s="3"/>
      <c r="D166" s="69"/>
      <c r="E166" s="1"/>
      <c r="F166" s="1"/>
      <c r="G166" s="70"/>
      <c r="H166" s="70"/>
      <c r="I166" s="70"/>
      <c r="J166" s="70"/>
      <c r="K166" s="7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s="43" customFormat="1" ht="11.25" customHeight="1" x14ac:dyDescent="0.25">
      <c r="A167" s="1"/>
      <c r="B167" s="3"/>
      <c r="D167" s="69"/>
      <c r="E167" s="1"/>
      <c r="F167" s="1"/>
      <c r="G167" s="70"/>
      <c r="H167" s="70"/>
      <c r="I167" s="70"/>
      <c r="J167" s="70"/>
      <c r="K167" s="7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s="43" customFormat="1" ht="11.25" customHeight="1" x14ac:dyDescent="0.25">
      <c r="A168" s="1"/>
      <c r="B168" s="3"/>
      <c r="D168" s="69"/>
      <c r="E168" s="1"/>
      <c r="F168" s="1"/>
      <c r="G168" s="70"/>
      <c r="H168" s="70"/>
      <c r="I168" s="70"/>
      <c r="J168" s="70"/>
      <c r="K168" s="7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s="43" customFormat="1" ht="11.25" customHeight="1" x14ac:dyDescent="0.25">
      <c r="A169" s="1"/>
      <c r="B169" s="3"/>
      <c r="D169" s="69"/>
      <c r="E169" s="1"/>
      <c r="F169" s="1"/>
      <c r="G169" s="70"/>
      <c r="H169" s="70"/>
      <c r="I169" s="70"/>
      <c r="J169" s="70"/>
      <c r="K169" s="7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s="43" customFormat="1" ht="11.25" customHeight="1" x14ac:dyDescent="0.25">
      <c r="A170" s="1"/>
      <c r="B170" s="3"/>
      <c r="D170" s="69"/>
      <c r="E170" s="1"/>
      <c r="F170" s="1"/>
      <c r="G170" s="70"/>
      <c r="H170" s="70"/>
      <c r="I170" s="70"/>
      <c r="J170" s="70"/>
      <c r="K170" s="7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s="43" customFormat="1" ht="11.25" customHeight="1" x14ac:dyDescent="0.25">
      <c r="A171" s="1"/>
      <c r="B171" s="3"/>
      <c r="D171" s="69"/>
      <c r="E171" s="1"/>
      <c r="F171" s="1"/>
      <c r="G171" s="70"/>
      <c r="H171" s="70"/>
      <c r="I171" s="70"/>
      <c r="J171" s="70"/>
      <c r="K171" s="7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s="43" customFormat="1" ht="11.25" customHeight="1" x14ac:dyDescent="0.25">
      <c r="A172" s="1"/>
      <c r="B172" s="3"/>
      <c r="D172" s="69"/>
      <c r="E172" s="1"/>
      <c r="F172" s="1"/>
      <c r="G172" s="70"/>
      <c r="H172" s="70"/>
      <c r="I172" s="70"/>
      <c r="J172" s="70"/>
      <c r="K172" s="7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s="43" customFormat="1" ht="11.25" customHeight="1" x14ac:dyDescent="0.25">
      <c r="A173" s="1"/>
      <c r="B173" s="3"/>
      <c r="D173" s="69"/>
      <c r="E173" s="1"/>
      <c r="F173" s="1"/>
      <c r="G173" s="70"/>
      <c r="H173" s="70"/>
      <c r="I173" s="70"/>
      <c r="J173" s="70"/>
      <c r="K173" s="7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s="43" customFormat="1" ht="11.25" customHeight="1" x14ac:dyDescent="0.25">
      <c r="A174" s="1"/>
      <c r="B174" s="3"/>
      <c r="D174" s="69"/>
      <c r="E174" s="1"/>
      <c r="F174" s="1"/>
      <c r="G174" s="70"/>
      <c r="H174" s="70"/>
      <c r="I174" s="70"/>
      <c r="J174" s="70"/>
      <c r="K174" s="7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s="43" customFormat="1" ht="11.25" customHeight="1" x14ac:dyDescent="0.25">
      <c r="A175" s="1"/>
      <c r="B175" s="3"/>
      <c r="D175" s="69"/>
      <c r="E175" s="1"/>
      <c r="F175" s="1"/>
      <c r="G175" s="70"/>
      <c r="H175" s="70"/>
      <c r="I175" s="70"/>
      <c r="J175" s="70"/>
      <c r="K175" s="7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s="43" customFormat="1" ht="11.25" customHeight="1" x14ac:dyDescent="0.25">
      <c r="A176" s="1"/>
      <c r="B176" s="3"/>
      <c r="D176" s="69"/>
      <c r="E176" s="1"/>
      <c r="F176" s="1"/>
      <c r="G176" s="70"/>
      <c r="H176" s="70"/>
      <c r="I176" s="70"/>
      <c r="J176" s="70"/>
      <c r="K176" s="7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s="43" customFormat="1" ht="11.25" customHeight="1" x14ac:dyDescent="0.25">
      <c r="A177" s="1"/>
      <c r="B177" s="3"/>
      <c r="D177" s="69"/>
      <c r="E177" s="1"/>
      <c r="F177" s="1"/>
      <c r="G177" s="70"/>
      <c r="H177" s="70"/>
      <c r="I177" s="70"/>
      <c r="J177" s="70"/>
      <c r="K177" s="7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s="43" customFormat="1" ht="11.25" customHeight="1" x14ac:dyDescent="0.25">
      <c r="A178" s="1"/>
      <c r="B178" s="3"/>
      <c r="D178" s="69"/>
      <c r="E178" s="1"/>
      <c r="F178" s="1"/>
      <c r="G178" s="70"/>
      <c r="H178" s="70"/>
      <c r="I178" s="70"/>
      <c r="J178" s="70"/>
      <c r="K178" s="7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s="43" customFormat="1" ht="11.25" customHeight="1" x14ac:dyDescent="0.25">
      <c r="A179" s="1"/>
      <c r="B179" s="3"/>
      <c r="D179" s="69"/>
      <c r="E179" s="1"/>
      <c r="F179" s="1"/>
      <c r="G179" s="70"/>
      <c r="H179" s="70"/>
      <c r="I179" s="70"/>
      <c r="J179" s="70"/>
      <c r="K179" s="7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s="43" customFormat="1" ht="11.25" customHeight="1" x14ac:dyDescent="0.25">
      <c r="A180" s="1"/>
      <c r="B180" s="3"/>
      <c r="D180" s="69"/>
      <c r="E180" s="1"/>
      <c r="F180" s="1"/>
      <c r="G180" s="70"/>
      <c r="H180" s="70"/>
      <c r="I180" s="70"/>
      <c r="J180" s="70"/>
      <c r="K180" s="7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s="43" customFormat="1" ht="11.25" customHeight="1" x14ac:dyDescent="0.25">
      <c r="A181" s="1"/>
      <c r="B181" s="3"/>
      <c r="D181" s="69"/>
      <c r="E181" s="1"/>
      <c r="F181" s="1"/>
      <c r="G181" s="70"/>
      <c r="H181" s="70"/>
      <c r="I181" s="70"/>
      <c r="J181" s="70"/>
      <c r="K181" s="7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s="43" customFormat="1" ht="11.25" customHeight="1" x14ac:dyDescent="0.25">
      <c r="A182" s="1"/>
      <c r="B182" s="3"/>
      <c r="D182" s="69"/>
      <c r="E182" s="1"/>
      <c r="F182" s="1"/>
      <c r="G182" s="70"/>
      <c r="H182" s="70"/>
      <c r="I182" s="70"/>
      <c r="J182" s="70"/>
      <c r="K182" s="7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s="43" customFormat="1" ht="11.25" customHeight="1" x14ac:dyDescent="0.25">
      <c r="A183" s="1"/>
      <c r="B183" s="3"/>
      <c r="D183" s="69"/>
      <c r="E183" s="1"/>
      <c r="F183" s="1"/>
      <c r="G183" s="70"/>
      <c r="H183" s="70"/>
      <c r="I183" s="70"/>
      <c r="J183" s="70"/>
      <c r="K183" s="7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s="43" customFormat="1" ht="11.25" customHeight="1" x14ac:dyDescent="0.25">
      <c r="A184" s="1"/>
      <c r="B184" s="3"/>
      <c r="D184" s="69"/>
      <c r="E184" s="1"/>
      <c r="F184" s="1"/>
      <c r="G184" s="70"/>
      <c r="H184" s="70"/>
      <c r="I184" s="70"/>
      <c r="J184" s="70"/>
      <c r="K184" s="7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s="43" customFormat="1" ht="11.25" customHeight="1" x14ac:dyDescent="0.25">
      <c r="A185" s="1"/>
      <c r="B185" s="3"/>
      <c r="D185" s="69"/>
      <c r="E185" s="1"/>
      <c r="F185" s="1"/>
      <c r="G185" s="70"/>
      <c r="H185" s="70"/>
      <c r="I185" s="70"/>
      <c r="J185" s="70"/>
      <c r="K185" s="7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s="43" customFormat="1" ht="11.25" customHeight="1" x14ac:dyDescent="0.25">
      <c r="A186" s="1"/>
      <c r="B186" s="3"/>
      <c r="D186" s="69"/>
      <c r="E186" s="1"/>
      <c r="F186" s="1"/>
      <c r="G186" s="70"/>
      <c r="H186" s="70"/>
      <c r="I186" s="70"/>
      <c r="J186" s="70"/>
      <c r="K186" s="7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s="43" customFormat="1" ht="11.25" customHeight="1" x14ac:dyDescent="0.25">
      <c r="A187" s="1"/>
      <c r="B187" s="3"/>
      <c r="D187" s="69"/>
      <c r="E187" s="1"/>
      <c r="F187" s="1"/>
      <c r="G187" s="70"/>
      <c r="H187" s="70"/>
      <c r="I187" s="70"/>
      <c r="J187" s="70"/>
      <c r="K187" s="7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s="43" customFormat="1" ht="11.25" customHeight="1" x14ac:dyDescent="0.25">
      <c r="A188" s="1"/>
      <c r="B188" s="3"/>
      <c r="D188" s="69"/>
      <c r="E188" s="1"/>
      <c r="F188" s="1"/>
      <c r="G188" s="70"/>
      <c r="H188" s="70"/>
      <c r="I188" s="70"/>
      <c r="J188" s="70"/>
      <c r="K188" s="7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s="43" customFormat="1" ht="11.25" customHeight="1" x14ac:dyDescent="0.25">
      <c r="A189" s="1"/>
      <c r="B189" s="3"/>
      <c r="D189" s="69"/>
      <c r="E189" s="1"/>
      <c r="F189" s="1"/>
      <c r="G189" s="70"/>
      <c r="H189" s="70"/>
      <c r="I189" s="70"/>
      <c r="J189" s="70"/>
      <c r="K189" s="7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s="43" customFormat="1" ht="11.25" customHeight="1" x14ac:dyDescent="0.25">
      <c r="A190" s="1"/>
      <c r="B190" s="3"/>
      <c r="D190" s="69"/>
      <c r="E190" s="1"/>
      <c r="F190" s="1"/>
      <c r="G190" s="70"/>
      <c r="H190" s="70"/>
      <c r="I190" s="70"/>
      <c r="J190" s="70"/>
      <c r="K190" s="7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s="43" customFormat="1" ht="11.25" customHeight="1" x14ac:dyDescent="0.25">
      <c r="A191" s="1"/>
      <c r="B191" s="3"/>
      <c r="D191" s="69"/>
      <c r="E191" s="1"/>
      <c r="F191" s="1"/>
      <c r="G191" s="70"/>
      <c r="H191" s="70"/>
      <c r="I191" s="70"/>
      <c r="J191" s="70"/>
      <c r="K191" s="7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s="43" customFormat="1" ht="11.25" customHeight="1" x14ac:dyDescent="0.25">
      <c r="A192" s="1"/>
      <c r="B192" s="3"/>
      <c r="D192" s="69"/>
      <c r="E192" s="1"/>
      <c r="F192" s="1"/>
      <c r="G192" s="70"/>
      <c r="H192" s="70"/>
      <c r="I192" s="70"/>
      <c r="J192" s="70"/>
      <c r="K192" s="7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s="43" customFormat="1" ht="11.25" customHeight="1" x14ac:dyDescent="0.25">
      <c r="A193" s="1"/>
      <c r="B193" s="3"/>
      <c r="D193" s="69"/>
      <c r="E193" s="1"/>
      <c r="F193" s="1"/>
      <c r="G193" s="70"/>
      <c r="H193" s="70"/>
      <c r="I193" s="70"/>
      <c r="J193" s="70"/>
      <c r="K193" s="7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s="43" customFormat="1" ht="11.25" customHeight="1" x14ac:dyDescent="0.25">
      <c r="A194" s="1"/>
      <c r="B194" s="3"/>
      <c r="D194" s="69"/>
      <c r="E194" s="1"/>
      <c r="F194" s="1"/>
      <c r="G194" s="70"/>
      <c r="H194" s="70"/>
      <c r="I194" s="70"/>
      <c r="J194" s="70"/>
      <c r="K194" s="7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s="43" customFormat="1" ht="11.25" customHeight="1" x14ac:dyDescent="0.25">
      <c r="A195" s="1"/>
      <c r="B195" s="3"/>
      <c r="D195" s="69"/>
      <c r="E195" s="1"/>
      <c r="F195" s="1"/>
      <c r="G195" s="70"/>
      <c r="H195" s="70"/>
      <c r="I195" s="70"/>
      <c r="J195" s="70"/>
      <c r="K195" s="7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43" customFormat="1" ht="11.25" customHeight="1" x14ac:dyDescent="0.25">
      <c r="A196" s="1"/>
      <c r="B196" s="3"/>
      <c r="D196" s="69"/>
      <c r="E196" s="1"/>
      <c r="F196" s="1"/>
      <c r="G196" s="70"/>
      <c r="H196" s="70"/>
      <c r="I196" s="70"/>
      <c r="J196" s="70"/>
      <c r="K196" s="7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s="43" customFormat="1" ht="11.25" customHeight="1" x14ac:dyDescent="0.25">
      <c r="A197" s="1"/>
      <c r="B197" s="3"/>
      <c r="D197" s="69"/>
      <c r="E197" s="1"/>
      <c r="F197" s="1"/>
      <c r="G197" s="70"/>
      <c r="H197" s="70"/>
      <c r="I197" s="70"/>
      <c r="J197" s="70"/>
      <c r="K197" s="7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s="43" customFormat="1" ht="11.25" customHeight="1" x14ac:dyDescent="0.25">
      <c r="A198" s="1"/>
      <c r="B198" s="3"/>
      <c r="D198" s="69"/>
      <c r="E198" s="1"/>
      <c r="F198" s="1"/>
      <c r="G198" s="70"/>
      <c r="H198" s="70"/>
      <c r="I198" s="70"/>
      <c r="J198" s="70"/>
      <c r="K198" s="7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s="43" customFormat="1" ht="11.25" customHeight="1" x14ac:dyDescent="0.25">
      <c r="A199" s="1"/>
      <c r="B199" s="3"/>
      <c r="D199" s="69"/>
      <c r="E199" s="1"/>
      <c r="F199" s="1"/>
      <c r="G199" s="70"/>
      <c r="H199" s="70"/>
      <c r="I199" s="70"/>
      <c r="J199" s="70"/>
      <c r="K199" s="7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s="43" customFormat="1" ht="11.25" customHeight="1" x14ac:dyDescent="0.25">
      <c r="A200" s="1"/>
      <c r="B200" s="3"/>
      <c r="D200" s="69"/>
      <c r="E200" s="1"/>
      <c r="F200" s="1"/>
      <c r="G200" s="70"/>
      <c r="H200" s="70"/>
      <c r="I200" s="70"/>
      <c r="J200" s="70"/>
      <c r="K200" s="7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s="43" customFormat="1" ht="11.25" customHeight="1" x14ac:dyDescent="0.25">
      <c r="A201" s="1"/>
      <c r="B201" s="3"/>
      <c r="D201" s="69"/>
      <c r="E201" s="1"/>
      <c r="F201" s="1"/>
      <c r="G201" s="70"/>
      <c r="H201" s="70"/>
      <c r="I201" s="70"/>
      <c r="J201" s="70"/>
      <c r="K201" s="7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s="43" customFormat="1" ht="11.25" customHeight="1" x14ac:dyDescent="0.25">
      <c r="A202" s="1"/>
      <c r="B202" s="3"/>
      <c r="D202" s="69"/>
      <c r="E202" s="1"/>
      <c r="F202" s="1"/>
      <c r="G202" s="70"/>
      <c r="H202" s="70"/>
      <c r="I202" s="70"/>
      <c r="J202" s="70"/>
      <c r="K202" s="7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</sheetData>
  <mergeCells count="31">
    <mergeCell ref="B19:D19"/>
    <mergeCell ref="V19:W19"/>
    <mergeCell ref="M5:M6"/>
    <mergeCell ref="N5:N6"/>
    <mergeCell ref="S4:S6"/>
    <mergeCell ref="T4:T6"/>
    <mergeCell ref="U4:U6"/>
    <mergeCell ref="V4:V6"/>
    <mergeCell ref="W4:W6"/>
    <mergeCell ref="Y4:Y6"/>
    <mergeCell ref="H4:H6"/>
    <mergeCell ref="I4:K4"/>
    <mergeCell ref="L4:L6"/>
    <mergeCell ref="M4:P4"/>
    <mergeCell ref="Q4:Q6"/>
    <mergeCell ref="R4:R6"/>
    <mergeCell ref="I5:I6"/>
    <mergeCell ref="J5:J6"/>
    <mergeCell ref="K5:K6"/>
    <mergeCell ref="O5:O6"/>
    <mergeCell ref="P5:P6"/>
    <mergeCell ref="A1:W1"/>
    <mergeCell ref="A2:W2"/>
    <mergeCell ref="A3:V3"/>
    <mergeCell ref="A4:A6"/>
    <mergeCell ref="B4:B6"/>
    <mergeCell ref="C4:C6"/>
    <mergeCell ref="D4:D6"/>
    <mergeCell ref="E4:E6"/>
    <mergeCell ref="F4:F6"/>
    <mergeCell ref="G4:G6"/>
  </mergeCells>
  <phoneticPr fontId="15" type="noConversion"/>
  <pageMargins left="0.7" right="0.7" top="0.75" bottom="0.75" header="0.3" footer="0.3"/>
  <pageSetup paperSize="9" scale="4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APBD</vt:lpstr>
      <vt:lpstr>APBN</vt:lpstr>
      <vt:lpstr>Bantuan Provinsi</vt:lpstr>
      <vt:lpstr>APBD!Print_Area</vt:lpstr>
      <vt:lpstr>APBN!Print_Area</vt:lpstr>
      <vt:lpstr>'Bantuan Provinsi'!Print_Area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asust9nrcx02n07637d@outlook.com</cp:lastModifiedBy>
  <cp:lastPrinted>2026-10-20T04:04:42Z</cp:lastPrinted>
  <dcterms:created xsi:type="dcterms:W3CDTF">2026-10-02T02:27:14Z</dcterms:created>
  <dcterms:modified xsi:type="dcterms:W3CDTF">2026-10-21T08:29:38Z</dcterms:modified>
</cp:coreProperties>
</file>