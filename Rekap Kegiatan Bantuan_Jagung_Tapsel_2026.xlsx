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GIATAN 2026\KUMPULAN DATA PENGISI WEBSITE\"/>
    </mc:Choice>
  </mc:AlternateContent>
  <xr:revisionPtr revIDLastSave="0" documentId="13_ncr:1_{A85250A7-D157-46AF-9C51-B96B25C8C1A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Penerima" sheetId="1" r:id="rId1"/>
    <sheet name="Rekap Kecamatan" sheetId="2" r:id="rId2"/>
    <sheet name="Rekap Sumber Dana" sheetId="3" r:id="rId3"/>
    <sheet name="Tanam dan Panen" sheetId="5" r:id="rId4"/>
    <sheet name="Panen dan Produksi" sheetId="6" r:id="rId5"/>
    <sheet name="Petunjuk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8" i="6" l="1"/>
  <c r="X8" i="6"/>
  <c r="Y8" i="6"/>
  <c r="W9" i="6"/>
  <c r="X9" i="6"/>
  <c r="Y9" i="6"/>
  <c r="Y22" i="6" s="1"/>
  <c r="W10" i="6"/>
  <c r="X10" i="6"/>
  <c r="Y10" i="6"/>
  <c r="W11" i="6"/>
  <c r="Z11" i="6" s="1"/>
  <c r="X11" i="6"/>
  <c r="Y11" i="6"/>
  <c r="W12" i="6"/>
  <c r="X12" i="6"/>
  <c r="Y12" i="6"/>
  <c r="W13" i="6"/>
  <c r="X13" i="6"/>
  <c r="Y13" i="6"/>
  <c r="W14" i="6"/>
  <c r="X14" i="6"/>
  <c r="Y14" i="6"/>
  <c r="W15" i="6"/>
  <c r="X15" i="6"/>
  <c r="Y15" i="6"/>
  <c r="Z15" i="6" s="1"/>
  <c r="W16" i="6"/>
  <c r="X16" i="6"/>
  <c r="Y16" i="6"/>
  <c r="W17" i="6"/>
  <c r="X17" i="6"/>
  <c r="Y17" i="6"/>
  <c r="W18" i="6"/>
  <c r="X18" i="6"/>
  <c r="Y18" i="6"/>
  <c r="Z18" i="6" s="1"/>
  <c r="W19" i="6"/>
  <c r="Z19" i="6" s="1"/>
  <c r="X19" i="6"/>
  <c r="Y19" i="6"/>
  <c r="W20" i="6"/>
  <c r="X20" i="6"/>
  <c r="Y20" i="6"/>
  <c r="W21" i="6"/>
  <c r="X21" i="6"/>
  <c r="Y21" i="6"/>
  <c r="Y7" i="6"/>
  <c r="X7" i="6"/>
  <c r="W7" i="6"/>
  <c r="O8" i="6"/>
  <c r="P8" i="6"/>
  <c r="Q8" i="6"/>
  <c r="R8" i="6" s="1"/>
  <c r="O9" i="6"/>
  <c r="P9" i="6"/>
  <c r="P22" i="6" s="1"/>
  <c r="Q9" i="6"/>
  <c r="O10" i="6"/>
  <c r="R10" i="6" s="1"/>
  <c r="P10" i="6"/>
  <c r="Q10" i="6"/>
  <c r="O11" i="6"/>
  <c r="R11" i="6" s="1"/>
  <c r="P11" i="6"/>
  <c r="Q11" i="6"/>
  <c r="O12" i="6"/>
  <c r="P12" i="6"/>
  <c r="Q12" i="6"/>
  <c r="O13" i="6"/>
  <c r="P13" i="6"/>
  <c r="Q13" i="6"/>
  <c r="O14" i="6"/>
  <c r="P14" i="6"/>
  <c r="Q14" i="6"/>
  <c r="O15" i="6"/>
  <c r="P15" i="6"/>
  <c r="R15" i="6" s="1"/>
  <c r="Q15" i="6"/>
  <c r="O16" i="6"/>
  <c r="P16" i="6"/>
  <c r="Q16" i="6"/>
  <c r="O17" i="6"/>
  <c r="P17" i="6"/>
  <c r="Q17" i="6"/>
  <c r="O18" i="6"/>
  <c r="P18" i="6"/>
  <c r="Q18" i="6"/>
  <c r="O19" i="6"/>
  <c r="R19" i="6" s="1"/>
  <c r="P19" i="6"/>
  <c r="Q19" i="6"/>
  <c r="O20" i="6"/>
  <c r="P20" i="6"/>
  <c r="Q20" i="6"/>
  <c r="R20" i="6" s="1"/>
  <c r="O21" i="6"/>
  <c r="P21" i="6"/>
  <c r="Q21" i="6"/>
  <c r="Q7" i="6"/>
  <c r="P7" i="6"/>
  <c r="O7" i="6"/>
  <c r="G8" i="6"/>
  <c r="H8" i="6"/>
  <c r="I8" i="6"/>
  <c r="G9" i="6"/>
  <c r="H9" i="6"/>
  <c r="I9" i="6"/>
  <c r="G10" i="6"/>
  <c r="J10" i="6" s="1"/>
  <c r="H10" i="6"/>
  <c r="H22" i="6" s="1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J19" i="6" s="1"/>
  <c r="H19" i="6"/>
  <c r="I19" i="6"/>
  <c r="G20" i="6"/>
  <c r="H20" i="6"/>
  <c r="I20" i="6"/>
  <c r="G21" i="6"/>
  <c r="H21" i="6"/>
  <c r="I21" i="6"/>
  <c r="I7" i="6"/>
  <c r="H7" i="6"/>
  <c r="G7" i="6"/>
  <c r="AC22" i="6"/>
  <c r="AB22" i="6"/>
  <c r="AA22" i="6"/>
  <c r="U22" i="6"/>
  <c r="T22" i="6"/>
  <c r="S22" i="6"/>
  <c r="M22" i="6"/>
  <c r="L22" i="6"/>
  <c r="K22" i="6"/>
  <c r="E22" i="6"/>
  <c r="D22" i="6"/>
  <c r="C22" i="6"/>
  <c r="AG21" i="6"/>
  <c r="AF21" i="6"/>
  <c r="AE21" i="6"/>
  <c r="AH21" i="6" s="1"/>
  <c r="AD21" i="6"/>
  <c r="Z21" i="6"/>
  <c r="V21" i="6"/>
  <c r="N21" i="6"/>
  <c r="J21" i="6"/>
  <c r="F21" i="6"/>
  <c r="AG20" i="6"/>
  <c r="AH20" i="6" s="1"/>
  <c r="AF20" i="6"/>
  <c r="AE20" i="6"/>
  <c r="AD20" i="6"/>
  <c r="Z20" i="6"/>
  <c r="V20" i="6"/>
  <c r="N20" i="6"/>
  <c r="F20" i="6"/>
  <c r="AI20" i="6" s="1"/>
  <c r="AG19" i="6"/>
  <c r="AF19" i="6"/>
  <c r="AE19" i="6"/>
  <c r="AH19" i="6" s="1"/>
  <c r="AD19" i="6"/>
  <c r="V19" i="6"/>
  <c r="N19" i="6"/>
  <c r="AI19" i="6" s="1"/>
  <c r="F19" i="6"/>
  <c r="AG18" i="6"/>
  <c r="AF18" i="6"/>
  <c r="AE18" i="6"/>
  <c r="AH18" i="6" s="1"/>
  <c r="AD18" i="6"/>
  <c r="V18" i="6"/>
  <c r="N18" i="6"/>
  <c r="F18" i="6"/>
  <c r="AG17" i="6"/>
  <c r="AF17" i="6"/>
  <c r="AE17" i="6"/>
  <c r="AH17" i="6" s="1"/>
  <c r="AD17" i="6"/>
  <c r="V17" i="6"/>
  <c r="R17" i="6"/>
  <c r="N17" i="6"/>
  <c r="J17" i="6"/>
  <c r="F17" i="6"/>
  <c r="AI17" i="6" s="1"/>
  <c r="AG16" i="6"/>
  <c r="AF16" i="6"/>
  <c r="AE16" i="6"/>
  <c r="AH16" i="6" s="1"/>
  <c r="AD16" i="6"/>
  <c r="V16" i="6"/>
  <c r="R16" i="6"/>
  <c r="N16" i="6"/>
  <c r="J16" i="6"/>
  <c r="F16" i="6"/>
  <c r="AG15" i="6"/>
  <c r="AF15" i="6"/>
  <c r="AE15" i="6"/>
  <c r="AH15" i="6" s="1"/>
  <c r="AD15" i="6"/>
  <c r="V15" i="6"/>
  <c r="N15" i="6"/>
  <c r="F15" i="6"/>
  <c r="AG14" i="6"/>
  <c r="AH14" i="6" s="1"/>
  <c r="AF14" i="6"/>
  <c r="AE14" i="6"/>
  <c r="AD14" i="6"/>
  <c r="V14" i="6"/>
  <c r="R14" i="6"/>
  <c r="N14" i="6"/>
  <c r="AI14" i="6" s="1"/>
  <c r="F14" i="6"/>
  <c r="AG13" i="6"/>
  <c r="AF13" i="6"/>
  <c r="AE13" i="6"/>
  <c r="AH13" i="6" s="1"/>
  <c r="AD13" i="6"/>
  <c r="V13" i="6"/>
  <c r="R13" i="6"/>
  <c r="N13" i="6"/>
  <c r="J13" i="6"/>
  <c r="F13" i="6"/>
  <c r="AG12" i="6"/>
  <c r="AF12" i="6"/>
  <c r="AE12" i="6"/>
  <c r="AH12" i="6" s="1"/>
  <c r="AD12" i="6"/>
  <c r="Z12" i="6"/>
  <c r="V12" i="6"/>
  <c r="N12" i="6"/>
  <c r="F12" i="6"/>
  <c r="AG11" i="6"/>
  <c r="AF11" i="6"/>
  <c r="AE11" i="6"/>
  <c r="AH11" i="6" s="1"/>
  <c r="AD11" i="6"/>
  <c r="V11" i="6"/>
  <c r="N11" i="6"/>
  <c r="F11" i="6"/>
  <c r="AG10" i="6"/>
  <c r="AF10" i="6"/>
  <c r="AE10" i="6"/>
  <c r="AH10" i="6" s="1"/>
  <c r="AD10" i="6"/>
  <c r="AD22" i="6" s="1"/>
  <c r="V10" i="6"/>
  <c r="N10" i="6"/>
  <c r="F10" i="6"/>
  <c r="AG9" i="6"/>
  <c r="AF9" i="6"/>
  <c r="AE9" i="6"/>
  <c r="AH9" i="6" s="1"/>
  <c r="AD9" i="6"/>
  <c r="Z9" i="6"/>
  <c r="V9" i="6"/>
  <c r="N9" i="6"/>
  <c r="F9" i="6"/>
  <c r="AG8" i="6"/>
  <c r="AH8" i="6" s="1"/>
  <c r="AF8" i="6"/>
  <c r="AE8" i="6"/>
  <c r="AD8" i="6"/>
  <c r="V8" i="6"/>
  <c r="N8" i="6"/>
  <c r="J8" i="6"/>
  <c r="F8" i="6"/>
  <c r="AG7" i="6"/>
  <c r="AG22" i="6" s="1"/>
  <c r="AF7" i="6"/>
  <c r="AF22" i="6" s="1"/>
  <c r="AE7" i="6"/>
  <c r="AE22" i="6" s="1"/>
  <c r="AD7" i="6"/>
  <c r="V7" i="6"/>
  <c r="N7" i="6"/>
  <c r="J7" i="6"/>
  <c r="F7" i="6"/>
  <c r="AJ19" i="6" l="1"/>
  <c r="V22" i="6"/>
  <c r="W22" i="6"/>
  <c r="Z10" i="6"/>
  <c r="AJ10" i="6" s="1"/>
  <c r="AI15" i="6"/>
  <c r="X22" i="6"/>
  <c r="Z13" i="6"/>
  <c r="AJ13" i="6" s="1"/>
  <c r="Z16" i="6"/>
  <c r="AJ16" i="6" s="1"/>
  <c r="AI10" i="6"/>
  <c r="Z8" i="6"/>
  <c r="AJ8" i="6" s="1"/>
  <c r="AI18" i="6"/>
  <c r="AI12" i="6"/>
  <c r="Z14" i="6"/>
  <c r="AI21" i="6"/>
  <c r="AI9" i="6"/>
  <c r="Z17" i="6"/>
  <c r="AJ17" i="6" s="1"/>
  <c r="R12" i="6"/>
  <c r="Q22" i="6"/>
  <c r="R9" i="6"/>
  <c r="R22" i="6" s="1"/>
  <c r="AI16" i="6"/>
  <c r="R21" i="6"/>
  <c r="AJ21" i="6" s="1"/>
  <c r="N22" i="6"/>
  <c r="AI8" i="6"/>
  <c r="R18" i="6"/>
  <c r="R7" i="6"/>
  <c r="AI11" i="6"/>
  <c r="I22" i="6"/>
  <c r="J12" i="6"/>
  <c r="J20" i="6"/>
  <c r="AJ20" i="6" s="1"/>
  <c r="J15" i="6"/>
  <c r="AJ15" i="6" s="1"/>
  <c r="J11" i="6"/>
  <c r="AJ11" i="6" s="1"/>
  <c r="AI13" i="6"/>
  <c r="F22" i="6"/>
  <c r="J14" i="6"/>
  <c r="AJ14" i="6" s="1"/>
  <c r="J18" i="6"/>
  <c r="J9" i="6"/>
  <c r="AJ9" i="6" s="1"/>
  <c r="O22" i="6"/>
  <c r="AI7" i="6"/>
  <c r="AH7" i="6"/>
  <c r="AH22" i="6" s="1"/>
  <c r="G22" i="6"/>
  <c r="Z7" i="6"/>
  <c r="Z22" i="6" l="1"/>
  <c r="AJ12" i="6"/>
  <c r="AJ18" i="6"/>
  <c r="AI22" i="6"/>
  <c r="J22" i="6"/>
  <c r="AJ7" i="6"/>
  <c r="AJ22" i="6" s="1"/>
  <c r="O37" i="5" l="1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46" i="5"/>
  <c r="O26" i="5"/>
  <c r="O27" i="5"/>
  <c r="O28" i="5"/>
  <c r="O29" i="5"/>
  <c r="O30" i="5"/>
  <c r="O31" i="5"/>
  <c r="O32" i="5"/>
  <c r="O33" i="5"/>
  <c r="O34" i="5"/>
  <c r="O35" i="5"/>
  <c r="O36" i="5"/>
  <c r="O38" i="5"/>
  <c r="O39" i="5"/>
  <c r="O2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5" i="5"/>
  <c r="F86" i="5"/>
  <c r="F88" i="5"/>
  <c r="F89" i="5"/>
  <c r="F90" i="5"/>
  <c r="F91" i="5"/>
  <c r="F92" i="5"/>
  <c r="F93" i="5"/>
  <c r="F94" i="5"/>
  <c r="F95" i="5"/>
  <c r="F96" i="5"/>
  <c r="F97" i="5"/>
  <c r="F98" i="5"/>
  <c r="F99" i="5"/>
  <c r="F85" i="5"/>
  <c r="E100" i="5"/>
  <c r="C100" i="5"/>
  <c r="D87" i="5"/>
  <c r="F87" i="5" s="1"/>
  <c r="N81" i="5"/>
  <c r="L81" i="5"/>
  <c r="K81" i="5"/>
  <c r="J81" i="5"/>
  <c r="I81" i="5"/>
  <c r="H81" i="5"/>
  <c r="G81" i="5"/>
  <c r="F81" i="5"/>
  <c r="E81" i="5"/>
  <c r="D81" i="5"/>
  <c r="C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N61" i="5"/>
  <c r="M61" i="5"/>
  <c r="L61" i="5"/>
  <c r="K61" i="5"/>
  <c r="J61" i="5"/>
  <c r="I61" i="5"/>
  <c r="H61" i="5"/>
  <c r="G61" i="5"/>
  <c r="F61" i="5"/>
  <c r="E61" i="5"/>
  <c r="D61" i="5"/>
  <c r="C61" i="5"/>
  <c r="N40" i="5"/>
  <c r="M40" i="5"/>
  <c r="L40" i="5"/>
  <c r="K40" i="5"/>
  <c r="J40" i="5"/>
  <c r="I40" i="5"/>
  <c r="H40" i="5"/>
  <c r="G40" i="5"/>
  <c r="F40" i="5"/>
  <c r="E40" i="5"/>
  <c r="D40" i="5"/>
  <c r="C40" i="5"/>
  <c r="N20" i="5"/>
  <c r="M20" i="5"/>
  <c r="L20" i="5"/>
  <c r="K20" i="5"/>
  <c r="J20" i="5"/>
  <c r="I20" i="5"/>
  <c r="H20" i="5"/>
  <c r="G20" i="5"/>
  <c r="F20" i="5"/>
  <c r="E20" i="5"/>
  <c r="D20" i="5"/>
  <c r="C20" i="5"/>
  <c r="F100" i="5" l="1"/>
  <c r="D100" i="5"/>
  <c r="O40" i="5"/>
  <c r="O20" i="5"/>
  <c r="O81" i="5"/>
  <c r="P81" i="5" s="1"/>
  <c r="M81" i="5"/>
  <c r="O61" i="5"/>
  <c r="O41" i="5" l="1"/>
  <c r="P41" i="5"/>
  <c r="F62" i="2" l="1"/>
  <c r="G62" i="2"/>
  <c r="D62" i="2"/>
  <c r="C6" i="3"/>
  <c r="F6" i="3"/>
  <c r="E6" i="3"/>
  <c r="L327" i="1"/>
  <c r="K327" i="1"/>
  <c r="J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C5" i="3"/>
  <c r="D5" i="3"/>
  <c r="E5" i="3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37" i="1"/>
  <c r="A38" i="1"/>
  <c r="A39" i="1"/>
  <c r="A40" i="1"/>
  <c r="A41" i="1"/>
  <c r="A42" i="1"/>
  <c r="A43" i="1"/>
  <c r="A44" i="1"/>
  <c r="A45" i="1"/>
  <c r="F5" i="3" l="1"/>
  <c r="D15" i="2" l="1"/>
  <c r="C2" i="3"/>
  <c r="G61" i="2"/>
  <c r="F61" i="2"/>
  <c r="E61" i="2"/>
  <c r="D61" i="2"/>
  <c r="G60" i="2"/>
  <c r="F60" i="2"/>
  <c r="E60" i="2"/>
  <c r="D60" i="2"/>
  <c r="G59" i="2"/>
  <c r="F59" i="2"/>
  <c r="E59" i="2"/>
  <c r="D59" i="2"/>
  <c r="G58" i="2"/>
  <c r="F58" i="2"/>
  <c r="E58" i="2"/>
  <c r="D58" i="2"/>
  <c r="G57" i="2"/>
  <c r="F57" i="2"/>
  <c r="E57" i="2"/>
  <c r="D57" i="2"/>
  <c r="G56" i="2"/>
  <c r="F56" i="2"/>
  <c r="E56" i="2"/>
  <c r="D56" i="2"/>
  <c r="G55" i="2"/>
  <c r="F55" i="2"/>
  <c r="E55" i="2"/>
  <c r="D55" i="2"/>
  <c r="G54" i="2"/>
  <c r="F54" i="2"/>
  <c r="E54" i="2"/>
  <c r="D54" i="2"/>
  <c r="G53" i="2"/>
  <c r="F53" i="2"/>
  <c r="E53" i="2"/>
  <c r="D53" i="2"/>
  <c r="G52" i="2"/>
  <c r="F52" i="2"/>
  <c r="E52" i="2"/>
  <c r="D52" i="2"/>
  <c r="G51" i="2"/>
  <c r="F51" i="2"/>
  <c r="E51" i="2"/>
  <c r="D51" i="2"/>
  <c r="G50" i="2"/>
  <c r="F50" i="2"/>
  <c r="E50" i="2"/>
  <c r="D50" i="2"/>
  <c r="G49" i="2"/>
  <c r="F49" i="2"/>
  <c r="E49" i="2"/>
  <c r="D49" i="2"/>
  <c r="G48" i="2"/>
  <c r="F48" i="2"/>
  <c r="E48" i="2"/>
  <c r="D48" i="2"/>
  <c r="G47" i="2"/>
  <c r="F47" i="2"/>
  <c r="E47" i="2"/>
  <c r="D47" i="2"/>
  <c r="K7" i="1" l="1"/>
  <c r="L6" i="1" l="1"/>
  <c r="L5" i="1"/>
  <c r="L4" i="1"/>
  <c r="K2" i="1"/>
  <c r="E2" i="3" s="1"/>
  <c r="F4" i="3"/>
  <c r="E4" i="3"/>
  <c r="D4" i="3"/>
  <c r="C4" i="3"/>
  <c r="F3" i="3"/>
  <c r="E3" i="3"/>
  <c r="D3" i="3"/>
  <c r="C3" i="3"/>
  <c r="D2" i="3"/>
  <c r="G46" i="2"/>
  <c r="F46" i="2"/>
  <c r="E46" i="2"/>
  <c r="D46" i="2"/>
  <c r="G45" i="2"/>
  <c r="F45" i="2"/>
  <c r="E45" i="2"/>
  <c r="D45" i="2"/>
  <c r="G44" i="2"/>
  <c r="F44" i="2"/>
  <c r="E44" i="2"/>
  <c r="D44" i="2"/>
  <c r="G43" i="2"/>
  <c r="F43" i="2"/>
  <c r="E43" i="2"/>
  <c r="D43" i="2"/>
  <c r="G42" i="2"/>
  <c r="F42" i="2"/>
  <c r="E42" i="2"/>
  <c r="D42" i="2"/>
  <c r="G41" i="2"/>
  <c r="F41" i="2"/>
  <c r="E41" i="2"/>
  <c r="D41" i="2"/>
  <c r="G40" i="2"/>
  <c r="F40" i="2"/>
  <c r="E40" i="2"/>
  <c r="D40" i="2"/>
  <c r="G39" i="2"/>
  <c r="F39" i="2"/>
  <c r="E39" i="2"/>
  <c r="D39" i="2"/>
  <c r="G38" i="2"/>
  <c r="F38" i="2"/>
  <c r="E38" i="2"/>
  <c r="D38" i="2"/>
  <c r="G37" i="2"/>
  <c r="F37" i="2"/>
  <c r="E37" i="2"/>
  <c r="D37" i="2"/>
  <c r="G36" i="2"/>
  <c r="F36" i="2"/>
  <c r="E36" i="2"/>
  <c r="D36" i="2"/>
  <c r="G35" i="2"/>
  <c r="F35" i="2"/>
  <c r="E35" i="2"/>
  <c r="D35" i="2"/>
  <c r="G34" i="2"/>
  <c r="F34" i="2"/>
  <c r="E34" i="2"/>
  <c r="D34" i="2"/>
  <c r="G33" i="2"/>
  <c r="F33" i="2"/>
  <c r="E33" i="2"/>
  <c r="D33" i="2"/>
  <c r="G32" i="2"/>
  <c r="F32" i="2"/>
  <c r="E32" i="2"/>
  <c r="D32" i="2"/>
  <c r="G31" i="2"/>
  <c r="F31" i="2"/>
  <c r="E31" i="2"/>
  <c r="D31" i="2"/>
  <c r="G30" i="2"/>
  <c r="F30" i="2"/>
  <c r="E30" i="2"/>
  <c r="D30" i="2"/>
  <c r="G29" i="2"/>
  <c r="F29" i="2"/>
  <c r="E29" i="2"/>
  <c r="D29" i="2"/>
  <c r="G28" i="2"/>
  <c r="F28" i="2"/>
  <c r="E28" i="2"/>
  <c r="D28" i="2"/>
  <c r="G27" i="2"/>
  <c r="F27" i="2"/>
  <c r="E27" i="2"/>
  <c r="D27" i="2"/>
  <c r="G26" i="2"/>
  <c r="F26" i="2"/>
  <c r="E26" i="2"/>
  <c r="D26" i="2"/>
  <c r="G25" i="2"/>
  <c r="F25" i="2"/>
  <c r="E25" i="2"/>
  <c r="D25" i="2"/>
  <c r="G24" i="2"/>
  <c r="F24" i="2"/>
  <c r="E24" i="2"/>
  <c r="D24" i="2"/>
  <c r="G23" i="2"/>
  <c r="F23" i="2"/>
  <c r="E23" i="2"/>
  <c r="D23" i="2"/>
  <c r="G22" i="2"/>
  <c r="F22" i="2"/>
  <c r="E22" i="2"/>
  <c r="D22" i="2"/>
  <c r="G21" i="2"/>
  <c r="F21" i="2"/>
  <c r="E21" i="2"/>
  <c r="D21" i="2"/>
  <c r="G20" i="2"/>
  <c r="F20" i="2"/>
  <c r="E20" i="2"/>
  <c r="D20" i="2"/>
  <c r="G19" i="2"/>
  <c r="F19" i="2"/>
  <c r="E19" i="2"/>
  <c r="D19" i="2"/>
  <c r="G18" i="2"/>
  <c r="F18" i="2"/>
  <c r="E18" i="2"/>
  <c r="D18" i="2"/>
  <c r="G17" i="2"/>
  <c r="F17" i="2"/>
  <c r="E17" i="2"/>
  <c r="D17" i="2"/>
  <c r="G16" i="2"/>
  <c r="F16" i="2"/>
  <c r="E16" i="2"/>
  <c r="D16" i="2"/>
  <c r="G15" i="2"/>
  <c r="F15" i="2"/>
  <c r="E15" i="2"/>
  <c r="G14" i="2"/>
  <c r="F14" i="2"/>
  <c r="E14" i="2"/>
  <c r="D14" i="2"/>
  <c r="G13" i="2"/>
  <c r="E13" i="2"/>
  <c r="D13" i="2"/>
  <c r="G12" i="2"/>
  <c r="F12" i="2"/>
  <c r="E12" i="2"/>
  <c r="D12" i="2"/>
  <c r="G11" i="2"/>
  <c r="F11" i="2"/>
  <c r="E11" i="2"/>
  <c r="D11" i="2"/>
  <c r="G10" i="2"/>
  <c r="F10" i="2"/>
  <c r="E10" i="2"/>
  <c r="D10" i="2"/>
  <c r="G9" i="2"/>
  <c r="F9" i="2"/>
  <c r="E9" i="2"/>
  <c r="D9" i="2"/>
  <c r="G8" i="2"/>
  <c r="F8" i="2"/>
  <c r="E8" i="2"/>
  <c r="D8" i="2"/>
  <c r="G7" i="2"/>
  <c r="F7" i="2"/>
  <c r="E7" i="2"/>
  <c r="D7" i="2"/>
  <c r="G6" i="2"/>
  <c r="F6" i="2"/>
  <c r="E6" i="2"/>
  <c r="D6" i="2"/>
  <c r="G5" i="2"/>
  <c r="F5" i="2"/>
  <c r="E5" i="2"/>
  <c r="D5" i="2"/>
  <c r="G4" i="2"/>
  <c r="F4" i="2"/>
  <c r="E4" i="2"/>
  <c r="D4" i="2"/>
  <c r="G3" i="2"/>
  <c r="F3" i="2"/>
  <c r="E3" i="2"/>
  <c r="D3" i="2"/>
  <c r="G2" i="2"/>
  <c r="F2" i="2"/>
  <c r="E2" i="2"/>
  <c r="D2" i="2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E62" i="2" l="1"/>
  <c r="D6" i="3"/>
  <c r="F2" i="3"/>
  <c r="F13" i="2"/>
</calcChain>
</file>

<file path=xl/sharedStrings.xml><?xml version="1.0" encoding="utf-8"?>
<sst xmlns="http://schemas.openxmlformats.org/spreadsheetml/2006/main" count="4010" uniqueCount="1543">
  <si>
    <t>No</t>
  </si>
  <si>
    <t>Sumber Dana</t>
  </si>
  <si>
    <t>Kecamatan</t>
  </si>
  <si>
    <t>Desa/Kelurahan</t>
  </si>
  <si>
    <t>Poktan/Brigade Pangan</t>
  </si>
  <si>
    <t>Nama Ketua</t>
  </si>
  <si>
    <t>NIK</t>
  </si>
  <si>
    <t>No Telp/HP</t>
  </si>
  <si>
    <t>Jlh Anggota (Org)</t>
  </si>
  <si>
    <t>Luas Lahan (Ha)</t>
  </si>
  <si>
    <t>Volume Benih (Kg)</t>
  </si>
  <si>
    <t>Varietas yang diusulkan</t>
  </si>
  <si>
    <t>Jadwal Tanam</t>
  </si>
  <si>
    <t>Terdaftar di SIMLUHTAN (Ya/Tidak)</t>
  </si>
  <si>
    <t>Poktan (Kelompok)</t>
  </si>
  <si>
    <t>Anggota (Orang)</t>
  </si>
  <si>
    <t>Luas (Ha)</t>
  </si>
  <si>
    <t>Benih (Kg)</t>
  </si>
  <si>
    <t>APBD Kabupaten</t>
  </si>
  <si>
    <t>Aek Bilah</t>
  </si>
  <si>
    <t>Angkola Barat</t>
  </si>
  <si>
    <t>Angkola Muara Tais</t>
  </si>
  <si>
    <t>Angkola Sangkunur</t>
  </si>
  <si>
    <t>Angkola Selatan</t>
  </si>
  <si>
    <t>Angkola Timur</t>
  </si>
  <si>
    <t>Arse</t>
  </si>
  <si>
    <t>Batang Angkola</t>
  </si>
  <si>
    <t>Batang Toru</t>
  </si>
  <si>
    <t>Marancar</t>
  </si>
  <si>
    <t>Muara Batang Toru</t>
  </si>
  <si>
    <t>Saipar Dolok Hole</t>
  </si>
  <si>
    <t>Sayur Matinggi</t>
  </si>
  <si>
    <t>Sipirok</t>
  </si>
  <si>
    <t>Tano Tombangan Angkola</t>
  </si>
  <si>
    <t>APBD Provinsi</t>
  </si>
  <si>
    <t>APBN</t>
  </si>
  <si>
    <t>TOTAL</t>
  </si>
  <si>
    <t>PETUNJUK PENGISIAN — BANTUAN JAGUNG 2026</t>
  </si>
  <si>
    <t>1. Input seluruh data pada sheet Data Penerima; kolom Sumber Dana merupakan tambahan dari contoh.</t>
  </si>
  <si>
    <t>2. Satu baris = satu penerima/lokasi/alokasi bantuan; jangan memasukkan rencana sebagai realisasi.</t>
  </si>
  <si>
    <t>3. Rekap Kecamatan dan Rekap Sumber Dana menghitung otomatis dari Data Penerima.</t>
  </si>
  <si>
    <t>4. Angka Poktan = jumlah baris kelompok penerima; bukan jumlah kelompok unik lintas sumber dana.</t>
  </si>
  <si>
    <t>5. Kolom luas dan benih dijumlahkan per alokasi; bila lokasi sama mendapatkan bantuan ganda, periksa potensi duplikasi.</t>
  </si>
  <si>
    <t>6. Format rekap ini khusus benih jagung. Bantuan alsintan, pupuk, dll membutuhkan satuan masing-masing.</t>
  </si>
  <si>
    <t>Aek Badak Julu</t>
  </si>
  <si>
    <t>Martondi</t>
  </si>
  <si>
    <t>Ahma Payunan. P</t>
  </si>
  <si>
    <t>1203211811750001</t>
  </si>
  <si>
    <t>081375749971</t>
  </si>
  <si>
    <t>Betras 32</t>
  </si>
  <si>
    <t>November</t>
  </si>
  <si>
    <t>1,10845,</t>
  </si>
  <si>
    <t>99,43478,145,7M30</t>
  </si>
  <si>
    <t>Ya</t>
  </si>
  <si>
    <t>Makmur Jaya</t>
  </si>
  <si>
    <t>Syamsir Hidayat Lubis</t>
  </si>
  <si>
    <t>1203210210700005</t>
  </si>
  <si>
    <t>081262563875</t>
  </si>
  <si>
    <t>1,10272,</t>
  </si>
  <si>
    <t>99,43371,165,5m</t>
  </si>
  <si>
    <t>Aek Badak Jae</t>
  </si>
  <si>
    <t>Surya</t>
  </si>
  <si>
    <t>Haris Muda Siregar</t>
  </si>
  <si>
    <t>1203212701690001</t>
  </si>
  <si>
    <t>081397110702</t>
  </si>
  <si>
    <t>1,1219N</t>
  </si>
  <si>
    <t>99,4424E</t>
  </si>
  <si>
    <t>Subur II</t>
  </si>
  <si>
    <t>Sumiyati</t>
  </si>
  <si>
    <t>1203217007740004</t>
  </si>
  <si>
    <t>081260808018</t>
  </si>
  <si>
    <t>1,122 N</t>
  </si>
  <si>
    <t>99,4428E</t>
  </si>
  <si>
    <t>Terus Maju</t>
  </si>
  <si>
    <t>Nur Insana Pulungan</t>
  </si>
  <si>
    <t>1203215710910001</t>
  </si>
  <si>
    <t>083875577451</t>
  </si>
  <si>
    <t>1,11411,</t>
  </si>
  <si>
    <t>99,4448,1881m881</t>
  </si>
  <si>
    <t>Sipange Siujam</t>
  </si>
  <si>
    <t>Satahi</t>
  </si>
  <si>
    <t>Aspan Pulungan</t>
  </si>
  <si>
    <t>1203211010850005</t>
  </si>
  <si>
    <t>085148477799</t>
  </si>
  <si>
    <t>1,22141,</t>
  </si>
  <si>
    <t>99,38019,229,3m</t>
  </si>
  <si>
    <t>Harapan</t>
  </si>
  <si>
    <t>Adi soryan Pulungan</t>
  </si>
  <si>
    <t>1203210708810009</t>
  </si>
  <si>
    <t>085372322046</t>
  </si>
  <si>
    <t>1˚13'17,</t>
  </si>
  <si>
    <t>99˚2249,221,0m</t>
  </si>
  <si>
    <t>Mulia Jaya</t>
  </si>
  <si>
    <t>Amri Pulungan</t>
  </si>
  <si>
    <t>1203214611821001</t>
  </si>
  <si>
    <t>082181079897</t>
  </si>
  <si>
    <t>1˚13'16'',</t>
  </si>
  <si>
    <t>99˚22'47'',213,8m</t>
  </si>
  <si>
    <t>Sialang</t>
  </si>
  <si>
    <t>Sinar Tani</t>
  </si>
  <si>
    <t>Indra Sugiarto</t>
  </si>
  <si>
    <t>1203210907900004</t>
  </si>
  <si>
    <t>082367346330</t>
  </si>
  <si>
    <t>1˚1238''</t>
  </si>
  <si>
    <t>9937115,2082,m,98°</t>
  </si>
  <si>
    <t>Suka Makmur</t>
  </si>
  <si>
    <t>Yahya HSB</t>
  </si>
  <si>
    <t>1203210505950015</t>
  </si>
  <si>
    <t>1˚12'39'',</t>
  </si>
  <si>
    <t>99,37348,207,6m.242</t>
  </si>
  <si>
    <t>KWT Pepaya</t>
  </si>
  <si>
    <t>Nurpaedah</t>
  </si>
  <si>
    <t>1203214809820005</t>
  </si>
  <si>
    <t>1,21191,</t>
  </si>
  <si>
    <t>99,37022,211,3m'91°</t>
  </si>
  <si>
    <t>Serasi Jaya</t>
  </si>
  <si>
    <t>Ratna Daulay</t>
  </si>
  <si>
    <t>1203216909690004</t>
  </si>
  <si>
    <t>1,20865'</t>
  </si>
  <si>
    <t>99'37549'207'5m,249</t>
  </si>
  <si>
    <t>Tunas Harapan</t>
  </si>
  <si>
    <t>Imbalo HSB</t>
  </si>
  <si>
    <t>1203211708610005</t>
  </si>
  <si>
    <t>1˚12'40'',</t>
  </si>
  <si>
    <t>9927348,207,6m,242°</t>
  </si>
  <si>
    <t>Sipange Godang</t>
  </si>
  <si>
    <t>Teratai</t>
  </si>
  <si>
    <t>Ahmadi Nasution</t>
  </si>
  <si>
    <t>1203210510830002</t>
  </si>
  <si>
    <t>082362251536</t>
  </si>
  <si>
    <t>1,20822,</t>
  </si>
  <si>
    <t>99,37026,237,7m</t>
  </si>
  <si>
    <t>Satahi Saoloan</t>
  </si>
  <si>
    <t>Zubaidah Siregar</t>
  </si>
  <si>
    <t>1203216612650001</t>
  </si>
  <si>
    <t>082274730543</t>
  </si>
  <si>
    <t>1.1993538N</t>
  </si>
  <si>
    <t>99.3754602E</t>
  </si>
  <si>
    <t>Sumber Maju</t>
  </si>
  <si>
    <t>Marasutan</t>
  </si>
  <si>
    <t>1203210703750001</t>
  </si>
  <si>
    <t>082361039363</t>
  </si>
  <si>
    <t>1,20628,</t>
  </si>
  <si>
    <t>99,38454,212,2m</t>
  </si>
  <si>
    <t>Gerhanas</t>
  </si>
  <si>
    <t>Manaro Siregar</t>
  </si>
  <si>
    <t>1203211508690003</t>
  </si>
  <si>
    <t>082167703417</t>
  </si>
  <si>
    <t>1,2067,</t>
  </si>
  <si>
    <t>99,37859,210,7m</t>
  </si>
  <si>
    <t>Silaiya Tanjung Leuk</t>
  </si>
  <si>
    <t>Barokah</t>
  </si>
  <si>
    <t>Yusron Siregar</t>
  </si>
  <si>
    <t>1203210803730003</t>
  </si>
  <si>
    <t>085122055552</t>
  </si>
  <si>
    <t>1,17417,</t>
  </si>
  <si>
    <t>99,40597,196,3m,314˚</t>
  </si>
  <si>
    <t>Huta Pardomuan</t>
  </si>
  <si>
    <t>Raja holong</t>
  </si>
  <si>
    <t>Marihot Simangunsong</t>
  </si>
  <si>
    <t>1203213112670012</t>
  </si>
  <si>
    <t>082276067651</t>
  </si>
  <si>
    <t>1.09194.</t>
  </si>
  <si>
    <t>99,43364,1841m8°</t>
  </si>
  <si>
    <t>Paya Bolak</t>
  </si>
  <si>
    <t>amiruddin Pasaribu</t>
  </si>
  <si>
    <t>1203211008490002</t>
  </si>
  <si>
    <t>085361077752</t>
  </si>
  <si>
    <t>11.11107.</t>
  </si>
  <si>
    <t>99,44357,168,8m,24°</t>
  </si>
  <si>
    <t>Parmonangan</t>
  </si>
  <si>
    <t>1203211708680004</t>
  </si>
  <si>
    <t>081375034806</t>
  </si>
  <si>
    <t>1'0916</t>
  </si>
  <si>
    <t>99,44193,180,5m,8°</t>
  </si>
  <si>
    <t>Somanggal Parmonangan</t>
  </si>
  <si>
    <t>Serasi</t>
  </si>
  <si>
    <t>Sarma Sitohang</t>
  </si>
  <si>
    <t>1203216006630002</t>
  </si>
  <si>
    <t>085768866281</t>
  </si>
  <si>
    <t>1,549,</t>
  </si>
  <si>
    <t>99,43189,168,1m,217°</t>
  </si>
  <si>
    <t>Zea Mays</t>
  </si>
  <si>
    <t>Hetty Lubis</t>
  </si>
  <si>
    <t>1203216606780002</t>
  </si>
  <si>
    <t>082167270455</t>
  </si>
  <si>
    <t>1,09087,</t>
  </si>
  <si>
    <t>99,25,59,16m,20°</t>
  </si>
  <si>
    <t>Saroha</t>
  </si>
  <si>
    <t>Pukka Huta Soit</t>
  </si>
  <si>
    <t>1203211107680004</t>
  </si>
  <si>
    <t>083873615594</t>
  </si>
  <si>
    <t>1,08814,</t>
  </si>
  <si>
    <t>99,23'39,206m,59°</t>
  </si>
  <si>
    <t xml:space="preserve">Aek Badak Julu </t>
  </si>
  <si>
    <t xml:space="preserve">Sepakat </t>
  </si>
  <si>
    <t xml:space="preserve">Gonion Alamsyah Pulungan </t>
  </si>
  <si>
    <t>1203210507740001</t>
  </si>
  <si>
    <t>082267612461</t>
  </si>
  <si>
    <t>1,11325</t>
  </si>
  <si>
    <t>99,44765 357°</t>
  </si>
  <si>
    <t>Tahalak</t>
  </si>
  <si>
    <t>Bahagia</t>
  </si>
  <si>
    <t xml:space="preserve">Kasmir Dalimunthe </t>
  </si>
  <si>
    <t>1203071808730002</t>
  </si>
  <si>
    <t>082165600616</t>
  </si>
  <si>
    <t>1°16'12"</t>
  </si>
  <si>
    <t>99°20'5"</t>
  </si>
  <si>
    <t>Mekar</t>
  </si>
  <si>
    <t>Aswar Anas Daulay</t>
  </si>
  <si>
    <t>1203070812851001</t>
  </si>
  <si>
    <t>081288021583</t>
  </si>
  <si>
    <t>1°16'17"</t>
  </si>
  <si>
    <t>99°20'11",226m</t>
  </si>
  <si>
    <t>Setia</t>
  </si>
  <si>
    <t>Yusniar Hasibuan</t>
  </si>
  <si>
    <t>1471105212750020</t>
  </si>
  <si>
    <t>082320620789</t>
  </si>
  <si>
    <t>1°16'13"</t>
  </si>
  <si>
    <t>99°20'44",220,0m</t>
  </si>
  <si>
    <t>Sidadi I</t>
  </si>
  <si>
    <t>Serumpun</t>
  </si>
  <si>
    <t>Ali Umar Dalimunthe</t>
  </si>
  <si>
    <t>1203073008650001</t>
  </si>
  <si>
    <t>081264218201</t>
  </si>
  <si>
    <t>1°15'52''</t>
  </si>
  <si>
    <t>99°20'13'', 284, 7m, 112°</t>
  </si>
  <si>
    <t>Sidadi II</t>
  </si>
  <si>
    <t>Maju</t>
  </si>
  <si>
    <t>Cani Dalimunthe</t>
  </si>
  <si>
    <t>1203074109700002</t>
  </si>
  <si>
    <t>081269703862</t>
  </si>
  <si>
    <t>1°15'42''</t>
  </si>
  <si>
    <t>99°20'32'' 228m 10°</t>
  </si>
  <si>
    <t>Janjimanaon</t>
  </si>
  <si>
    <t>Nusa Indah</t>
  </si>
  <si>
    <t>Dama Sari</t>
  </si>
  <si>
    <t>1203076308760001</t>
  </si>
  <si>
    <t>082274734009</t>
  </si>
  <si>
    <t>1,2542,</t>
  </si>
  <si>
    <t>99.35748, 829,4ft. 353°</t>
  </si>
  <si>
    <t>Sitampa Simatoras</t>
  </si>
  <si>
    <t>Suka Jadi</t>
  </si>
  <si>
    <t>Arsan Masyunuri</t>
  </si>
  <si>
    <t>1203073003730001</t>
  </si>
  <si>
    <t>082274340844</t>
  </si>
  <si>
    <t>1,26049,</t>
  </si>
  <si>
    <t>99,34712. 8792, 0ft, 96°</t>
  </si>
  <si>
    <t>Sigalangan</t>
  </si>
  <si>
    <t>Melati</t>
  </si>
  <si>
    <t>Lilis Sundari</t>
  </si>
  <si>
    <t>1203076903740002</t>
  </si>
  <si>
    <t>1'1914</t>
  </si>
  <si>
    <t>99'2127.213.0M</t>
  </si>
  <si>
    <t>Pasar Lama</t>
  </si>
  <si>
    <t>Kompak Mandiri</t>
  </si>
  <si>
    <t>Agustina</t>
  </si>
  <si>
    <t>1203075808670001</t>
  </si>
  <si>
    <t>081260001882</t>
  </si>
  <si>
    <t>1°15'6''</t>
  </si>
  <si>
    <t>99°20'9'', 244,0M, 312°</t>
  </si>
  <si>
    <t>Pintu Padang  I</t>
  </si>
  <si>
    <t>Aek  Gongonan</t>
  </si>
  <si>
    <t>Sri Hartahati</t>
  </si>
  <si>
    <t>1271046802770003</t>
  </si>
  <si>
    <t xml:space="preserve">Lat 1.245254° </t>
  </si>
  <si>
    <t>Long 99.346036°</t>
  </si>
  <si>
    <t>Pintu Padang  II</t>
  </si>
  <si>
    <t>Cempaka</t>
  </si>
  <si>
    <t>Rohaniah Daulay</t>
  </si>
  <si>
    <t>1203074101660002</t>
  </si>
  <si>
    <t>082276017088</t>
  </si>
  <si>
    <t>1°13'55'',</t>
  </si>
  <si>
    <t>99°22'25''.197,0m,18°</t>
  </si>
  <si>
    <t>Benteng Huraba</t>
  </si>
  <si>
    <t>Kastel</t>
  </si>
  <si>
    <t>Nining Surya Ningsi</t>
  </si>
  <si>
    <t>1203074606690004</t>
  </si>
  <si>
    <t>1°14'05.5"</t>
  </si>
  <si>
    <t>99'2220",210,59'</t>
  </si>
  <si>
    <t>Nurdin Nasution</t>
  </si>
  <si>
    <t>1203071504590003</t>
  </si>
  <si>
    <t>1°14'05.5''N</t>
  </si>
  <si>
    <t>99°22'00.3''E</t>
  </si>
  <si>
    <t>Oryzae</t>
  </si>
  <si>
    <t>Johan S Mansyur</t>
  </si>
  <si>
    <t>1203071504900005</t>
  </si>
  <si>
    <t>082248141228</t>
  </si>
  <si>
    <t>1°13'59.1178''N</t>
  </si>
  <si>
    <t>99°21'48.0796''E</t>
  </si>
  <si>
    <t>Serasi Bersatu</t>
  </si>
  <si>
    <t>Emil Salim Nasution</t>
  </si>
  <si>
    <t>1203070204780001</t>
  </si>
  <si>
    <t>081260948701</t>
  </si>
  <si>
    <t>1.228874°</t>
  </si>
  <si>
    <t xml:space="preserve"> 99.362983°</t>
  </si>
  <si>
    <t>Kamarul Zaman</t>
  </si>
  <si>
    <t>1203071504650006</t>
  </si>
  <si>
    <t>081262436663</t>
  </si>
  <si>
    <t>1°13'58. 3514''N</t>
  </si>
  <si>
    <t>99°21'19.6848''E</t>
  </si>
  <si>
    <t>Padang  Kahombu</t>
  </si>
  <si>
    <t>Sahdan Dalimunte</t>
  </si>
  <si>
    <t>1203070310700002</t>
  </si>
  <si>
    <t>1°13'44",202' N</t>
  </si>
  <si>
    <t xml:space="preserve"> 99'22'', 77'E </t>
  </si>
  <si>
    <t>Nabujing</t>
  </si>
  <si>
    <t>Ida Lumongga Lubis</t>
  </si>
  <si>
    <t>1203074304780001</t>
  </si>
  <si>
    <t>1,2276 N</t>
  </si>
  <si>
    <t>99, 3665 E</t>
  </si>
  <si>
    <t>Makmur</t>
  </si>
  <si>
    <t>Agus Japar Siregar</t>
  </si>
  <si>
    <t>1203071508710002</t>
  </si>
  <si>
    <t>1,2248,</t>
  </si>
  <si>
    <t>99, 36456, 198, 5m, 1°</t>
  </si>
  <si>
    <t>Sorik</t>
  </si>
  <si>
    <t>Sirara</t>
  </si>
  <si>
    <t>Nirwan Harahap</t>
  </si>
  <si>
    <t>1203070305700003</t>
  </si>
  <si>
    <t>1°13'30"</t>
  </si>
  <si>
    <t>99°22'10",204, 7m, 110°</t>
  </si>
  <si>
    <t>Aek  Rogas</t>
  </si>
  <si>
    <t>Muhammad Mulia Lubis</t>
  </si>
  <si>
    <t>1203070804850004</t>
  </si>
  <si>
    <t>1°13'25"</t>
  </si>
  <si>
    <t>99°21'40",229, 1m, 75°</t>
  </si>
  <si>
    <t>Sinondang  Bulan</t>
  </si>
  <si>
    <t>Amin Hijari Matondang</t>
  </si>
  <si>
    <t>1203072808730003</t>
  </si>
  <si>
    <t>1°13'4"</t>
  </si>
  <si>
    <t>99°21'49",223, 1m, 159°</t>
  </si>
  <si>
    <t>Aek Gunung</t>
  </si>
  <si>
    <t>Marsada</t>
  </si>
  <si>
    <t>Romli Harahap</t>
  </si>
  <si>
    <t>1203070811510001</t>
  </si>
  <si>
    <t>082183076441</t>
  </si>
  <si>
    <t>1.29163°</t>
  </si>
  <si>
    <t>99.36681°</t>
  </si>
  <si>
    <t>Aek  Nauli</t>
  </si>
  <si>
    <t>Simitcak Jaya</t>
  </si>
  <si>
    <t>Rizky Arianto Hasibuan</t>
  </si>
  <si>
    <t>1277021404920002</t>
  </si>
  <si>
    <t>08137037321</t>
  </si>
  <si>
    <t>1.30102632N</t>
  </si>
  <si>
    <t>99.36676399E</t>
  </si>
  <si>
    <t>Sibulele Muara</t>
  </si>
  <si>
    <t>Dosnitahi</t>
  </si>
  <si>
    <t>Namri Ritonga</t>
  </si>
  <si>
    <t>1203072404640003</t>
  </si>
  <si>
    <t xml:space="preserve">1°16'38'', </t>
  </si>
  <si>
    <t>99°21'44'', 213, 1m, 239°</t>
  </si>
  <si>
    <t>Bargottopong</t>
  </si>
  <si>
    <t>Harapan Maju</t>
  </si>
  <si>
    <t>Zulhanto Tambunan</t>
  </si>
  <si>
    <t>1203070104800001</t>
  </si>
  <si>
    <t xml:space="preserve">1°16'50'', </t>
  </si>
  <si>
    <t>99°22'23'', 220, 4m, 82°</t>
  </si>
  <si>
    <t>Sigulang  Losung</t>
  </si>
  <si>
    <t>Maju Bersama</t>
  </si>
  <si>
    <t>Ida Dermawati Aritonang</t>
  </si>
  <si>
    <t>1203075502750002</t>
  </si>
  <si>
    <t>1,251653°</t>
  </si>
  <si>
    <t>99,377518°</t>
  </si>
  <si>
    <t>Berkat</t>
  </si>
  <si>
    <t>Bramo Siburian</t>
  </si>
  <si>
    <t>1203070808960004</t>
  </si>
  <si>
    <t>1,251644°</t>
  </si>
  <si>
    <t>99,377516°</t>
  </si>
  <si>
    <t>Bangun Purba</t>
  </si>
  <si>
    <t>Ganda Hasil</t>
  </si>
  <si>
    <t>Nurita Barus</t>
  </si>
  <si>
    <t>1203075705770001</t>
  </si>
  <si>
    <t>1'17''37</t>
  </si>
  <si>
    <t>99°22'14' 215.0m 87°</t>
  </si>
  <si>
    <t>Horas</t>
  </si>
  <si>
    <t>Perhatian Simare Mare</t>
  </si>
  <si>
    <t>2171102903799002</t>
  </si>
  <si>
    <t>1.18.39''</t>
  </si>
  <si>
    <t xml:space="preserve">99. 377705 E </t>
  </si>
  <si>
    <t>Sempurna</t>
  </si>
  <si>
    <t>Dannis Nababan</t>
  </si>
  <si>
    <t>1203072512770002</t>
  </si>
  <si>
    <t>1'15''33</t>
  </si>
  <si>
    <t>100°23.17. 217.0m 89''</t>
  </si>
  <si>
    <t>Sorimadingin PP</t>
  </si>
  <si>
    <t>Sepakat</t>
  </si>
  <si>
    <t>Henri Mariono Togatorop</t>
  </si>
  <si>
    <t>1203072909690001</t>
  </si>
  <si>
    <t>1,235802 N</t>
  </si>
  <si>
    <t>99.377705 E</t>
  </si>
  <si>
    <t>Huta Padang</t>
  </si>
  <si>
    <t>Ijan Op  Sungu</t>
  </si>
  <si>
    <t>1203073010590001</t>
  </si>
  <si>
    <t>1,231627 N</t>
  </si>
  <si>
    <t>99.375330 E</t>
  </si>
  <si>
    <t>Manggis</t>
  </si>
  <si>
    <t>Jenni Sianturi</t>
  </si>
  <si>
    <t>1203075405780004</t>
  </si>
  <si>
    <t>1,231972 N</t>
  </si>
  <si>
    <t>99.376507 E</t>
  </si>
  <si>
    <t>Martabe</t>
  </si>
  <si>
    <t>Adilsyah Putra Silaban</t>
  </si>
  <si>
    <t>1277022312870005</t>
  </si>
  <si>
    <t xml:space="preserve">1.224843° </t>
  </si>
  <si>
    <t xml:space="preserve"> 99.358454°</t>
  </si>
  <si>
    <t>Hurase</t>
  </si>
  <si>
    <t>Tulus</t>
  </si>
  <si>
    <t>Bona Tuper Sianturi</t>
  </si>
  <si>
    <t>1203073003911001</t>
  </si>
  <si>
    <t>1°14'33"</t>
  </si>
  <si>
    <t>99°22'34", 229,3m, 354°</t>
  </si>
  <si>
    <t>Janner Siregar</t>
  </si>
  <si>
    <t>1203072801750002</t>
  </si>
  <si>
    <t>1°14'1"</t>
  </si>
  <si>
    <t>99°21'37", 159°</t>
  </si>
  <si>
    <t>Gorat Hamonangan Pasaribu</t>
  </si>
  <si>
    <t>1203072811590001</t>
  </si>
  <si>
    <t>1°14'6"</t>
  </si>
  <si>
    <t>99°21'44", 101°</t>
  </si>
  <si>
    <t>Ikhlas</t>
  </si>
  <si>
    <t>Apostel Siregar</t>
  </si>
  <si>
    <t>1203073110070001</t>
  </si>
  <si>
    <t>1°14'29"</t>
  </si>
  <si>
    <t>99°22'35", 212,1m, 128°</t>
  </si>
  <si>
    <t>Sukses</t>
  </si>
  <si>
    <t>Lasma Oppu Sunggu</t>
  </si>
  <si>
    <t>1203076211680001</t>
  </si>
  <si>
    <t>1.224843°</t>
  </si>
  <si>
    <t>99.358454°</t>
  </si>
  <si>
    <t>Marancar Godang</t>
  </si>
  <si>
    <t>Mandiri Sejahtera</t>
  </si>
  <si>
    <t>Hotman Harahap</t>
  </si>
  <si>
    <t>1203205507840003</t>
  </si>
  <si>
    <t>082167678848</t>
  </si>
  <si>
    <t>1,51212,</t>
  </si>
  <si>
    <t>99,16237,547,0m,291°</t>
  </si>
  <si>
    <t>Gunung Binanga</t>
  </si>
  <si>
    <t>Mawar</t>
  </si>
  <si>
    <t>Rosnita</t>
  </si>
  <si>
    <t>1203206407950002</t>
  </si>
  <si>
    <t>081260255780</t>
  </si>
  <si>
    <t>1.50381208N</t>
  </si>
  <si>
    <t xml:space="preserve"> 99.13773369E</t>
  </si>
  <si>
    <t>Huraba</t>
  </si>
  <si>
    <t>Kita Bersama</t>
  </si>
  <si>
    <t>Syurya Darma</t>
  </si>
  <si>
    <t>1371021809810005</t>
  </si>
  <si>
    <t>081310080013</t>
  </si>
  <si>
    <t>1°29'13",</t>
  </si>
  <si>
    <t>99°7'14",305,5m</t>
  </si>
  <si>
    <t>Marancar Julu</t>
  </si>
  <si>
    <t>Emmi Nora</t>
  </si>
  <si>
    <t>3201296004720002</t>
  </si>
  <si>
    <t>081287674849</t>
  </si>
  <si>
    <t>1,52891,</t>
  </si>
  <si>
    <t>99,18724,744,7m,357°</t>
  </si>
  <si>
    <t>Sugi</t>
  </si>
  <si>
    <t>Silottik</t>
  </si>
  <si>
    <t>Emmida Gultom</t>
  </si>
  <si>
    <t>1203206609870001</t>
  </si>
  <si>
    <t>081397442378</t>
  </si>
  <si>
    <t>1,52195,</t>
  </si>
  <si>
    <t>99.19614857E</t>
  </si>
  <si>
    <t>Sitinjak</t>
  </si>
  <si>
    <t>Salak Berduri</t>
  </si>
  <si>
    <t>Hermin Anata Harahap</t>
  </si>
  <si>
    <t>1203010905860003</t>
  </si>
  <si>
    <t>085763302155</t>
  </si>
  <si>
    <t>1,42598,</t>
  </si>
  <si>
    <t>99,17662,587,8m,145°</t>
  </si>
  <si>
    <t>Gibson Sinaga</t>
  </si>
  <si>
    <t>1203012509850001</t>
  </si>
  <si>
    <t>085361784273</t>
  </si>
  <si>
    <t>1,42801,</t>
  </si>
  <si>
    <t>99,17491,600,3m,190°</t>
  </si>
  <si>
    <t>April Saputra Lubis</t>
  </si>
  <si>
    <t>1221041304840002</t>
  </si>
  <si>
    <t>081361417274</t>
  </si>
  <si>
    <t>1,42882,</t>
  </si>
  <si>
    <t>99,17491,613,7m,159°</t>
  </si>
  <si>
    <t>Berkah</t>
  </si>
  <si>
    <t>Asnidar Harahap</t>
  </si>
  <si>
    <t>1203016002640004</t>
  </si>
  <si>
    <t>085373409369</t>
  </si>
  <si>
    <t>1,42211,</t>
  </si>
  <si>
    <t>99,1741,577,7m,124°</t>
  </si>
  <si>
    <t>Simarorkis Sisoma</t>
  </si>
  <si>
    <t>Rap Olo</t>
  </si>
  <si>
    <t>Alinapia Sormin</t>
  </si>
  <si>
    <t>1203011212730007</t>
  </si>
  <si>
    <t>082274467321</t>
  </si>
  <si>
    <t>1°23'52",</t>
  </si>
  <si>
    <t>99°10'42"476,0m,269°</t>
  </si>
  <si>
    <t>Hadengganan Pasaribu</t>
  </si>
  <si>
    <t>1203012306830002</t>
  </si>
  <si>
    <t>082165350275</t>
  </si>
  <si>
    <t>1°26'54",</t>
  </si>
  <si>
    <t>99°9'32",619,8m,82°</t>
  </si>
  <si>
    <t>Sisundung</t>
  </si>
  <si>
    <t>Sikompak</t>
  </si>
  <si>
    <t>Paima situmorang</t>
  </si>
  <si>
    <t>1203011111650001</t>
  </si>
  <si>
    <t>082166056076</t>
  </si>
  <si>
    <t>1°23'51"</t>
  </si>
  <si>
    <t>99°10'42",469,8m,52°</t>
  </si>
  <si>
    <t>Pasar Sipirok</t>
  </si>
  <si>
    <t>Sakti Raja</t>
  </si>
  <si>
    <t>1203042908650001</t>
  </si>
  <si>
    <t>081260337654</t>
  </si>
  <si>
    <t>1,54829,</t>
  </si>
  <si>
    <t>995871,356°</t>
  </si>
  <si>
    <t>Angkola Mandiri</t>
  </si>
  <si>
    <t>Herry Kiman</t>
  </si>
  <si>
    <t>1203041212760001</t>
  </si>
  <si>
    <t>081370911982</t>
  </si>
  <si>
    <t>1°32'39",</t>
  </si>
  <si>
    <t>19'28",651,4m,352°</t>
  </si>
  <si>
    <t>Sampean</t>
  </si>
  <si>
    <t>Rosul Hrp</t>
  </si>
  <si>
    <t>1203042007810003</t>
  </si>
  <si>
    <t>082272177320</t>
  </si>
  <si>
    <t>1⁰35'52",</t>
  </si>
  <si>
    <t>99⁰15'56",935,7m,189⁰</t>
  </si>
  <si>
    <t>Aek Sagala</t>
  </si>
  <si>
    <t>Adam Nas</t>
  </si>
  <si>
    <t>1213062404780002</t>
  </si>
  <si>
    <t>082273883699</t>
  </si>
  <si>
    <t>1°37'24",</t>
  </si>
  <si>
    <t>99°18'40", 889,4m, 188°</t>
  </si>
  <si>
    <t>Pahae Aek Sagala</t>
  </si>
  <si>
    <t>Pormas</t>
  </si>
  <si>
    <t>Amal Sandy Simatupang</t>
  </si>
  <si>
    <t>1203042107860003</t>
  </si>
  <si>
    <t>081362098204</t>
  </si>
  <si>
    <t>1°37'25",</t>
  </si>
  <si>
    <t>99°18'40", 892,8m, 170°</t>
  </si>
  <si>
    <t>Holidun Ritonga</t>
  </si>
  <si>
    <t>1203041008830002</t>
  </si>
  <si>
    <t>085358254326</t>
  </si>
  <si>
    <t>1°37'54",</t>
  </si>
  <si>
    <t>99°18'40", 891,1m, 360</t>
  </si>
  <si>
    <t>Bersama</t>
  </si>
  <si>
    <t>Maulub Siregar</t>
  </si>
  <si>
    <t>1203040503700002</t>
  </si>
  <si>
    <t>082361716795</t>
  </si>
  <si>
    <t>1°37'42",</t>
  </si>
  <si>
    <t>99°18'40", 898,6m, 78°</t>
  </si>
  <si>
    <t>Sarogodung</t>
  </si>
  <si>
    <t>Nikmad Nasution</t>
  </si>
  <si>
    <t>1203041012710004</t>
  </si>
  <si>
    <t>081376951043</t>
  </si>
  <si>
    <t>1°16'39"</t>
  </si>
  <si>
    <t>99°20'56210,
7m</t>
  </si>
  <si>
    <t>Sialagundi</t>
  </si>
  <si>
    <t>Sehati</t>
  </si>
  <si>
    <t>Desi Ana</t>
  </si>
  <si>
    <t>1203044309950001</t>
  </si>
  <si>
    <t>082277610938</t>
  </si>
  <si>
    <t>1,57823,</t>
  </si>
  <si>
    <t>99,30225,889,6m</t>
  </si>
  <si>
    <t>Hot Anita</t>
  </si>
  <si>
    <t>1203045204740001</t>
  </si>
  <si>
    <t>081397645607</t>
  </si>
  <si>
    <t xml:space="preserve">1245254° </t>
  </si>
  <si>
    <t>99.346036°</t>
  </si>
  <si>
    <t>Kel. Parau Sorat</t>
  </si>
  <si>
    <t>Nurlan Pulungan</t>
  </si>
  <si>
    <t>1203044505720002</t>
  </si>
  <si>
    <t>1°13'59. 1178''N</t>
  </si>
  <si>
    <t>99°21'48.079
6''E</t>
  </si>
  <si>
    <t>Kartini Hrp</t>
  </si>
  <si>
    <t>1203044803650001</t>
  </si>
  <si>
    <t>1°34'8"</t>
  </si>
  <si>
    <t>99°18'8", 881,1m</t>
  </si>
  <si>
    <t>Pangurabaan</t>
  </si>
  <si>
    <t>Delta</t>
  </si>
  <si>
    <t>Safri Alinapiah Pane</t>
  </si>
  <si>
    <t>1203041111820008</t>
  </si>
  <si>
    <t>1'18'9"</t>
  </si>
  <si>
    <t>99°19'26,
2365m,157</t>
  </si>
  <si>
    <t>Nursiti Siagian</t>
  </si>
  <si>
    <t>1203045209650007</t>
  </si>
  <si>
    <t>1'18'15"</t>
  </si>
  <si>
    <t>99°19'24'243,
7m,101</t>
  </si>
  <si>
    <t>Paran Julu</t>
  </si>
  <si>
    <t>Annisa Hasibuan</t>
  </si>
  <si>
    <t>1203044605830001</t>
  </si>
  <si>
    <t>1°17'52"</t>
  </si>
  <si>
    <t>99°20'10",23
6,1m334m°</t>
  </si>
  <si>
    <t xml:space="preserve">Harapan </t>
  </si>
  <si>
    <t>Sahirun Lumbang Tobing</t>
  </si>
  <si>
    <t>1203042004700001</t>
  </si>
  <si>
    <t>1°18'12"</t>
  </si>
  <si>
    <t>99°20'6",232,
4m</t>
  </si>
  <si>
    <t>Bagas Lombang</t>
  </si>
  <si>
    <t>Sahata</t>
  </si>
  <si>
    <t>Sopyan Hasibuan</t>
  </si>
  <si>
    <t>1203040505590002</t>
  </si>
  <si>
    <t>081370875955</t>
  </si>
  <si>
    <t>16127816528963500˚</t>
  </si>
  <si>
    <t>9928123813122510˚</t>
  </si>
  <si>
    <t>Hutasuhut</t>
  </si>
  <si>
    <t>Senada</t>
  </si>
  <si>
    <t>Zulfan Efendi Hts</t>
  </si>
  <si>
    <t>1203042505790005</t>
  </si>
  <si>
    <t>083862797194</t>
  </si>
  <si>
    <t>1..612766906590609</t>
  </si>
  <si>
    <t>9927122477442020˚</t>
  </si>
  <si>
    <t>Sipirok Godang</t>
  </si>
  <si>
    <t>Beringin Jaya</t>
  </si>
  <si>
    <t>Azis Ritonga</t>
  </si>
  <si>
    <t>1203041503760001</t>
  </si>
  <si>
    <t>082371349720</t>
  </si>
  <si>
    <t>1,60119,</t>
  </si>
  <si>
    <t>99,26732,933,0m,162˚</t>
  </si>
  <si>
    <t>Padang Bujur</t>
  </si>
  <si>
    <t>Aek Nabara</t>
  </si>
  <si>
    <t>Armadi Siregar</t>
  </si>
  <si>
    <t>1203042402870002</t>
  </si>
  <si>
    <t>085890647841</t>
  </si>
  <si>
    <t>1°16'41"</t>
  </si>
  <si>
    <t>99°20'59', 211,9m</t>
  </si>
  <si>
    <t xml:space="preserve">Nuraini </t>
  </si>
  <si>
    <t>1203044203600003</t>
  </si>
  <si>
    <t>083895382932</t>
  </si>
  <si>
    <t>1˚35'13'',</t>
  </si>
  <si>
    <t>99˚16'35'',947,2m,38˚</t>
  </si>
  <si>
    <t>Barnang Koling</t>
  </si>
  <si>
    <t>karya Bersama</t>
  </si>
  <si>
    <t>Mangarahon Siregar</t>
  </si>
  <si>
    <t>1203041107760002</t>
  </si>
  <si>
    <t>082163954606</t>
  </si>
  <si>
    <t>1°33'6"</t>
  </si>
  <si>
    <t>99°22'26",534,7m,311°</t>
  </si>
  <si>
    <t>Jaya Bersama</t>
  </si>
  <si>
    <t>Umar Anuar Zen Hrp</t>
  </si>
  <si>
    <t>1203041607700001</t>
  </si>
  <si>
    <t>082279435690</t>
  </si>
  <si>
    <t>1°33'5"</t>
  </si>
  <si>
    <t>99°22'40",563,9m,155°</t>
  </si>
  <si>
    <t>Situmba</t>
  </si>
  <si>
    <t>Ade Risna Pane</t>
  </si>
  <si>
    <t>1203044508860001</t>
  </si>
  <si>
    <t>082283739551</t>
  </si>
  <si>
    <t>1°10'12"</t>
  </si>
  <si>
    <t>99°44'15"14,168,7m</t>
  </si>
  <si>
    <t>Situmba Julu</t>
  </si>
  <si>
    <t>Bersaudara</t>
  </si>
  <si>
    <t>Aminah Siregar</t>
  </si>
  <si>
    <t>1203044511650001</t>
  </si>
  <si>
    <t>082162136604</t>
  </si>
  <si>
    <t>1.06079.</t>
  </si>
  <si>
    <t>99.42235.191.6m.266</t>
  </si>
  <si>
    <t>Bulu Mario</t>
  </si>
  <si>
    <t>Manuluk Siagian</t>
  </si>
  <si>
    <t>1203040505660001</t>
  </si>
  <si>
    <t>1˚35'49,848'N</t>
  </si>
  <si>
    <t>99˚12'57,906''E</t>
  </si>
  <si>
    <t>Sibadoar</t>
  </si>
  <si>
    <t>Dosniroha</t>
  </si>
  <si>
    <t>Thamrin Sihombing</t>
  </si>
  <si>
    <t>1203040906720002</t>
  </si>
  <si>
    <t>0819-5984-1584</t>
  </si>
  <si>
    <t>1,11697.</t>
  </si>
  <si>
    <t>99.41537,190.1902m</t>
  </si>
  <si>
    <t>Panaungan</t>
  </si>
  <si>
    <t>Parmaidi Harahap</t>
  </si>
  <si>
    <t>1203040307840006</t>
  </si>
  <si>
    <t>0853-6190-0750</t>
  </si>
  <si>
    <t>1.04956.</t>
  </si>
  <si>
    <t>99.44244.179.6m</t>
  </si>
  <si>
    <t>Tarmizi Abadi</t>
  </si>
  <si>
    <t>1203040909800001</t>
  </si>
  <si>
    <t>0812-6883-5027</t>
  </si>
  <si>
    <t>1,614447N</t>
  </si>
  <si>
    <t>99,255247E±1,00m</t>
  </si>
  <si>
    <t>Simaninggir</t>
  </si>
  <si>
    <t>Sarasi</t>
  </si>
  <si>
    <t>Hasan Basri Harahap</t>
  </si>
  <si>
    <t>1203042405570002</t>
  </si>
  <si>
    <t>0813-6182-5861</t>
  </si>
  <si>
    <t>1,58475,</t>
  </si>
  <si>
    <t>99,28534,909,8m</t>
  </si>
  <si>
    <t>Pinagar</t>
  </si>
  <si>
    <t>GAMBARE</t>
  </si>
  <si>
    <t>HUSEIN SIREGAR</t>
  </si>
  <si>
    <t>1203141003690001</t>
  </si>
  <si>
    <t>081361345946</t>
  </si>
  <si>
    <t>1,631312N</t>
  </si>
  <si>
    <t>99,296355E ±1,60M 265° W</t>
  </si>
  <si>
    <t>DAINANG</t>
  </si>
  <si>
    <t>SITI RENA RAMBE</t>
  </si>
  <si>
    <t>1203140603640001</t>
  </si>
  <si>
    <t>1,632295N</t>
  </si>
  <si>
    <t>99,296585E±  1,30m 169°S</t>
  </si>
  <si>
    <t>SAUDURAN</t>
  </si>
  <si>
    <t xml:space="preserve">ILYAS PULUNGAN </t>
  </si>
  <si>
    <t>1203140707750001</t>
  </si>
  <si>
    <t xml:space="preserve">1,6955N </t>
  </si>
  <si>
    <t>99,3106E198˚S</t>
  </si>
  <si>
    <t>arse nauli</t>
  </si>
  <si>
    <t>JOGJA</t>
  </si>
  <si>
    <t>RAHMAT PANE</t>
  </si>
  <si>
    <t>1203140307790001</t>
  </si>
  <si>
    <t>085261810936</t>
  </si>
  <si>
    <t>1,66143N</t>
  </si>
  <si>
    <t>99,30775E</t>
  </si>
  <si>
    <t xml:space="preserve">ISTIQOMAH </t>
  </si>
  <si>
    <t>HANNA RIA SINAGA</t>
  </si>
  <si>
    <t>1203144811750001</t>
  </si>
  <si>
    <t>1,66811N</t>
  </si>
  <si>
    <t>99,30832E, 882,9m</t>
  </si>
  <si>
    <t xml:space="preserve">HIJAU DAUN </t>
  </si>
  <si>
    <t xml:space="preserve">SAFRUDDIN </t>
  </si>
  <si>
    <t>1203142402750001</t>
  </si>
  <si>
    <t>1,67871N</t>
  </si>
  <si>
    <t>99,30381,835,3m,62°</t>
  </si>
  <si>
    <t xml:space="preserve">ANGGREK </t>
  </si>
  <si>
    <t xml:space="preserve">JULIANA PANGGABEAN </t>
  </si>
  <si>
    <t>1203147108690001</t>
  </si>
  <si>
    <t>1,6731N</t>
  </si>
  <si>
    <t xml:space="preserve"> 99,237E 342°E</t>
  </si>
  <si>
    <t>MAONDANG</t>
  </si>
  <si>
    <t>EFRIDA WATI SIREGAR</t>
  </si>
  <si>
    <t>1203046303820002</t>
  </si>
  <si>
    <t>1°40'4''</t>
  </si>
  <si>
    <t>99°18'44'',896,8m,6°</t>
  </si>
  <si>
    <t>Pardomuan</t>
  </si>
  <si>
    <t xml:space="preserve">AEK SAPILPIL </t>
  </si>
  <si>
    <t>MEGAWATI BATUBARA</t>
  </si>
  <si>
    <t>1203144709580001</t>
  </si>
  <si>
    <t>81362264723</t>
  </si>
  <si>
    <t>1,68559N</t>
  </si>
  <si>
    <t>99.325647.48E 273°W</t>
  </si>
  <si>
    <t>MELATI JAYA</t>
  </si>
  <si>
    <t xml:space="preserve">ABDUL MUTOLIB </t>
  </si>
  <si>
    <t>1203140706630001</t>
  </si>
  <si>
    <t>1°40'43''</t>
  </si>
  <si>
    <t>99°19'28'', 890,4m,4</t>
  </si>
  <si>
    <t>Aek Haminjon</t>
  </si>
  <si>
    <t xml:space="preserve">SAROHA </t>
  </si>
  <si>
    <t>SAHRIANA HARAHAP</t>
  </si>
  <si>
    <t>1204126507710002</t>
  </si>
  <si>
    <t>082276610133</t>
  </si>
  <si>
    <t>1°41'36''</t>
  </si>
  <si>
    <t>99°19'2', 2110,6m,138°</t>
  </si>
  <si>
    <t>BINA MAJU</t>
  </si>
  <si>
    <t>RAHMA WATI</t>
  </si>
  <si>
    <t>1203144506750002</t>
  </si>
  <si>
    <t>1,69078N</t>
  </si>
  <si>
    <t>99,32394E,420,9m 273°</t>
  </si>
  <si>
    <t>DASAWISMA</t>
  </si>
  <si>
    <t>ROHANI PANJAITAN</t>
  </si>
  <si>
    <t>1203144605670001</t>
  </si>
  <si>
    <t>1,68821N</t>
  </si>
  <si>
    <t>99,31784E,911,7m 258°</t>
  </si>
  <si>
    <t>LESTARI</t>
  </si>
  <si>
    <t>HENNI OCTAVIA MARPAUNG</t>
  </si>
  <si>
    <t>1203145204820002</t>
  </si>
  <si>
    <t xml:space="preserve">1,643645N </t>
  </si>
  <si>
    <t>99,306672E± 1,20m 179°S</t>
  </si>
  <si>
    <t>Nanggarjati Hutapadang</t>
  </si>
  <si>
    <t>INGIN MAJU</t>
  </si>
  <si>
    <t>NURAINI RAMBE</t>
  </si>
  <si>
    <t>1203144508560001</t>
  </si>
  <si>
    <t>085261721119</t>
  </si>
  <si>
    <t>1°41'41''</t>
  </si>
  <si>
    <t>99°19'34'',910,4,310°</t>
  </si>
  <si>
    <t>SETIA</t>
  </si>
  <si>
    <t>OVI YANTI</t>
  </si>
  <si>
    <t>1508164908760001</t>
  </si>
  <si>
    <t>1°41'56''</t>
  </si>
  <si>
    <t>99°19'23'',876,3m,352°</t>
  </si>
  <si>
    <t>Nanggar Jati</t>
  </si>
  <si>
    <t>DOSNIROHA</t>
  </si>
  <si>
    <t>ZULKARYA MARBUN</t>
  </si>
  <si>
    <t>1203142912760003</t>
  </si>
  <si>
    <t>085358162445</t>
  </si>
  <si>
    <t>1,709542N</t>
  </si>
  <si>
    <t>99,31815,886,5m</t>
  </si>
  <si>
    <t xml:space="preserve">PARDAMEAN </t>
  </si>
  <si>
    <t xml:space="preserve">NURHOTMA DELINA </t>
  </si>
  <si>
    <t>1203145612830001</t>
  </si>
  <si>
    <t>1°40'4'',</t>
  </si>
  <si>
    <t>99v18'44'',896,8m,6°</t>
  </si>
  <si>
    <t>SUKA MAJU</t>
  </si>
  <si>
    <t>MASLAN LUBIS</t>
  </si>
  <si>
    <t>1203144508600001</t>
  </si>
  <si>
    <t>1,68559N 99</t>
  </si>
  <si>
    <t>325647.48E 273°W</t>
  </si>
  <si>
    <t>CINTA DAMAI</t>
  </si>
  <si>
    <t xml:space="preserve">GEDEON PANJAITAN </t>
  </si>
  <si>
    <t>1203142209790002</t>
  </si>
  <si>
    <t>1°40'43,</t>
  </si>
  <si>
    <t>'99°19'28'', 890,4m,4</t>
  </si>
  <si>
    <t>MAWAR</t>
  </si>
  <si>
    <t>RENNIDA BATUBARA</t>
  </si>
  <si>
    <t>1203146808770001</t>
  </si>
  <si>
    <t>1,69699832N</t>
  </si>
  <si>
    <t>99.31685999E,1,70m</t>
  </si>
  <si>
    <t>Roncintan</t>
  </si>
  <si>
    <t>SEPAKAT</t>
  </si>
  <si>
    <t>ERWIN EFENDI SIMATUPANG</t>
  </si>
  <si>
    <t>1203140603760001</t>
  </si>
  <si>
    <t>081376929377</t>
  </si>
  <si>
    <t>1,7092N 99</t>
  </si>
  <si>
    <t>3189E</t>
  </si>
  <si>
    <t>SEJATI</t>
  </si>
  <si>
    <t>NURHAYATI HARAHAP</t>
  </si>
  <si>
    <t>1203145804920002</t>
  </si>
  <si>
    <t>1,7045N</t>
  </si>
  <si>
    <t>99,3260E</t>
  </si>
  <si>
    <t xml:space="preserve">Lancat </t>
  </si>
  <si>
    <t>MARTABE</t>
  </si>
  <si>
    <t>SAMSURIATI SIREGAR</t>
  </si>
  <si>
    <t>1203144404720001</t>
  </si>
  <si>
    <t>082277760928</t>
  </si>
  <si>
    <t>1°43'42''</t>
  </si>
  <si>
    <t>99°17'20'',830m,262°</t>
  </si>
  <si>
    <t>SINGOLU-NGOLU</t>
  </si>
  <si>
    <t>FIRDAUS SORMIN</t>
  </si>
  <si>
    <t>1203141102831111</t>
  </si>
  <si>
    <t>1°43'38''</t>
  </si>
  <si>
    <t>99°17'14'',837,3m,278°</t>
  </si>
  <si>
    <t>MAJU BERSAMA</t>
  </si>
  <si>
    <t>SYAHRI ROMADONA RITONGA</t>
  </si>
  <si>
    <t>1203141404890001</t>
  </si>
  <si>
    <t>1,7136N 99</t>
  </si>
  <si>
    <t>3256E±1,76m235° SW</t>
  </si>
  <si>
    <t xml:space="preserve">HIKMAH MAJU </t>
  </si>
  <si>
    <t xml:space="preserve">NURILAM HASIBUAN </t>
  </si>
  <si>
    <t>1203146812760003</t>
  </si>
  <si>
    <t>1°43'47'',</t>
  </si>
  <si>
    <t>99°19'37'',867,3m,229°</t>
  </si>
  <si>
    <t>ONDOLAN RITONGA</t>
  </si>
  <si>
    <t>1203142004830001</t>
  </si>
  <si>
    <t>1,7134N,</t>
  </si>
  <si>
    <t>3277E ±12,16m214°SW</t>
  </si>
  <si>
    <t>Sipogu</t>
  </si>
  <si>
    <t>SEMERU</t>
  </si>
  <si>
    <t>SAFRIHAMDAN PANE</t>
  </si>
  <si>
    <t>1203142010740003</t>
  </si>
  <si>
    <t>082163424848</t>
  </si>
  <si>
    <t>1,753574° N,</t>
  </si>
  <si>
    <t>99,306468°E</t>
  </si>
  <si>
    <t xml:space="preserve">SUKA MAJU </t>
  </si>
  <si>
    <t>RIZA SIMATUPANG</t>
  </si>
  <si>
    <t>1203147107810001</t>
  </si>
  <si>
    <t>1,807662 N 99,</t>
  </si>
  <si>
    <t>375608E</t>
  </si>
  <si>
    <t>simangambat</t>
  </si>
  <si>
    <t>serasi</t>
  </si>
  <si>
    <t>kholidin ritonga</t>
  </si>
  <si>
    <t>1203051412800002</t>
  </si>
  <si>
    <t>081366229736</t>
  </si>
  <si>
    <t>1,77651N</t>
  </si>
  <si>
    <t>99,32760E</t>
  </si>
  <si>
    <t>aek simotung</t>
  </si>
  <si>
    <t>jujur sejahtera</t>
  </si>
  <si>
    <t>nasrul gultom</t>
  </si>
  <si>
    <t>1203050508780001</t>
  </si>
  <si>
    <t>081360415768</t>
  </si>
  <si>
    <t>1.7788N99.</t>
  </si>
  <si>
    <t>3372E</t>
  </si>
  <si>
    <t>somba debata purba</t>
  </si>
  <si>
    <t>binatani</t>
  </si>
  <si>
    <t>muhammad djalik dlt</t>
  </si>
  <si>
    <t>1203050608810001</t>
  </si>
  <si>
    <t>082275346615</t>
  </si>
  <si>
    <t>1.767028N</t>
  </si>
  <si>
    <t>99.301603E</t>
  </si>
  <si>
    <t>aek simadoras</t>
  </si>
  <si>
    <t>hamdan pasaribu</t>
  </si>
  <si>
    <t>1203050411890003</t>
  </si>
  <si>
    <t>081279737133</t>
  </si>
  <si>
    <t>1,787585N</t>
  </si>
  <si>
    <t>99,336963E</t>
  </si>
  <si>
    <t>batang parsuluman</t>
  </si>
  <si>
    <t>makmur</t>
  </si>
  <si>
    <t>sahril tambunan</t>
  </si>
  <si>
    <t>1203051206870006</t>
  </si>
  <si>
    <t>085274305173</t>
  </si>
  <si>
    <t>1,884821N</t>
  </si>
  <si>
    <t>99,375995E</t>
  </si>
  <si>
    <t>saut banua simanosor</t>
  </si>
  <si>
    <t>sahata</t>
  </si>
  <si>
    <t>pardomuan simatupang</t>
  </si>
  <si>
    <t>1203052710890005</t>
  </si>
  <si>
    <t>082320291446</t>
  </si>
  <si>
    <t>1,786896N</t>
  </si>
  <si>
    <t>99,356811E</t>
  </si>
  <si>
    <t>sipagimbar</t>
  </si>
  <si>
    <t>semangat bertani</t>
  </si>
  <si>
    <t>partahian pasaribu</t>
  </si>
  <si>
    <t>1203052904800001</t>
  </si>
  <si>
    <t>082247100605</t>
  </si>
  <si>
    <t>1,507N</t>
  </si>
  <si>
    <t>99,213198E</t>
  </si>
  <si>
    <t>sapagimbar</t>
  </si>
  <si>
    <t>murni II</t>
  </si>
  <si>
    <t>yosman efendi</t>
  </si>
  <si>
    <t>1203052890770003</t>
  </si>
  <si>
    <t>'082247100605</t>
  </si>
  <si>
    <t>1,835478N</t>
  </si>
  <si>
    <t>99,363954E</t>
  </si>
  <si>
    <t>Aek Kahombu</t>
  </si>
  <si>
    <t>Paradise</t>
  </si>
  <si>
    <t>Juliana Lubis</t>
  </si>
  <si>
    <t>1203216411690002</t>
  </si>
  <si>
    <t>081396232873</t>
  </si>
  <si>
    <t>1,1003,</t>
  </si>
  <si>
    <t>992459,178,3m162</t>
  </si>
  <si>
    <t>Panabari</t>
  </si>
  <si>
    <t>Eben Ezer Tobing</t>
  </si>
  <si>
    <t>1203211303600001</t>
  </si>
  <si>
    <t>081263064827</t>
  </si>
  <si>
    <t>1˚3'5'',</t>
  </si>
  <si>
    <t>992433,262,6m122</t>
  </si>
  <si>
    <t>Syngenta</t>
  </si>
  <si>
    <t>Alex Sembiring</t>
  </si>
  <si>
    <t>1203210210700004</t>
  </si>
  <si>
    <t>081360036691</t>
  </si>
  <si>
    <t>1,07952,</t>
  </si>
  <si>
    <t>99,41694,177,9m</t>
  </si>
  <si>
    <t>Rap Ra</t>
  </si>
  <si>
    <t>Samsul Basri Sihombing</t>
  </si>
  <si>
    <t>1203211708700004</t>
  </si>
  <si>
    <t>082366956323</t>
  </si>
  <si>
    <t xml:space="preserve">1⁰48"
</t>
  </si>
  <si>
    <t>99⁰25'37',171.4m,337'</t>
  </si>
  <si>
    <t>Hutaraja</t>
  </si>
  <si>
    <t>Anugrah</t>
  </si>
  <si>
    <t>Hendrik Simanjuntak</t>
  </si>
  <si>
    <t>1202040907860006</t>
  </si>
  <si>
    <t>081265929582</t>
  </si>
  <si>
    <t>1⁰33'5''</t>
  </si>
  <si>
    <t>99⁰25'7'',196,7m</t>
  </si>
  <si>
    <t>Kasih Ibu</t>
  </si>
  <si>
    <t>Marintan Simamora</t>
  </si>
  <si>
    <t>1203305204560001</t>
  </si>
  <si>
    <t>085306341371</t>
  </si>
  <si>
    <t>1⁰3'42"</t>
  </si>
  <si>
    <t>99⁰25'1',197.3m</t>
  </si>
  <si>
    <t>Lumban Jabi-jabi</t>
  </si>
  <si>
    <t>BINA KARYA</t>
  </si>
  <si>
    <t>MURNI SIANTURI</t>
  </si>
  <si>
    <t>1203215304730003</t>
  </si>
  <si>
    <t>082165742510</t>
  </si>
  <si>
    <t>1˚2'36˚,</t>
  </si>
  <si>
    <t>99,432,29,173,5m,116 ⁰</t>
  </si>
  <si>
    <t>DIORI MARSDA</t>
  </si>
  <si>
    <t>WISLER NAINGGOLAN</t>
  </si>
  <si>
    <t>1203212507490001</t>
  </si>
  <si>
    <t>081350778573</t>
  </si>
  <si>
    <t>1,04663,</t>
  </si>
  <si>
    <t>99,43234,168,0m,57 ⁰</t>
  </si>
  <si>
    <t>Ingul jae</t>
  </si>
  <si>
    <t>Sepakat Baru</t>
  </si>
  <si>
    <t>Lastiar Pakpahan</t>
  </si>
  <si>
    <t>1203215212810005</t>
  </si>
  <si>
    <t>081377066589</t>
  </si>
  <si>
    <t>1⁰4'36"</t>
  </si>
  <si>
    <t>99⁰25'0"</t>
  </si>
  <si>
    <t>Sahabat</t>
  </si>
  <si>
    <t>Soritua Sinamo</t>
  </si>
  <si>
    <t>1203210307440003</t>
  </si>
  <si>
    <t>085261482794</t>
  </si>
  <si>
    <t>1.04195.</t>
  </si>
  <si>
    <t>99.44248.174.8m</t>
  </si>
  <si>
    <t>Lumban Ratus</t>
  </si>
  <si>
    <t>Mauliate</t>
  </si>
  <si>
    <t>Juita Simanjuntak</t>
  </si>
  <si>
    <t>1203214812870003</t>
  </si>
  <si>
    <t>082267956430</t>
  </si>
  <si>
    <t>1,033320N</t>
  </si>
  <si>
    <t>99,439644'E</t>
  </si>
  <si>
    <t>Putra Nauli</t>
  </si>
  <si>
    <t>Dirman Hasiholan Siantu</t>
  </si>
  <si>
    <t>1203210202640002</t>
  </si>
  <si>
    <t>081370761162</t>
  </si>
  <si>
    <t>1,033676'N</t>
  </si>
  <si>
    <t>99,432297'N</t>
  </si>
  <si>
    <t>Marsada Roha</t>
  </si>
  <si>
    <t>Suharman Pangabea</t>
  </si>
  <si>
    <t>1203210710700002</t>
  </si>
  <si>
    <t>081396394086</t>
  </si>
  <si>
    <t>1,039669'N</t>
  </si>
  <si>
    <t>99,427162'N</t>
  </si>
  <si>
    <t>Hati Nurani</t>
  </si>
  <si>
    <t>Nurilam Togatorop</t>
  </si>
  <si>
    <t>1203214602650004</t>
  </si>
  <si>
    <t>1,030517'N</t>
  </si>
  <si>
    <t>9925,19462,8m,217</t>
  </si>
  <si>
    <t>Krista M Siregar</t>
  </si>
  <si>
    <t>1203306708740001</t>
  </si>
  <si>
    <t>085348410345</t>
  </si>
  <si>
    <t>1,027669'N</t>
  </si>
  <si>
    <t>99,417462'E</t>
  </si>
  <si>
    <t>Partahian Nauli</t>
  </si>
  <si>
    <t>Rumiris Tampubolon</t>
  </si>
  <si>
    <t>1203216112740002</t>
  </si>
  <si>
    <t>085297413940</t>
  </si>
  <si>
    <t>1'00593,</t>
  </si>
  <si>
    <t>99'13624'1650'457</t>
  </si>
  <si>
    <t>Simaninggir TT</t>
  </si>
  <si>
    <t>KWT Inang Perkasa</t>
  </si>
  <si>
    <t>Ratna Dongoran</t>
  </si>
  <si>
    <t>1203215305660001</t>
  </si>
  <si>
    <t>082168119196</t>
  </si>
  <si>
    <t>1,10'12"7,</t>
  </si>
  <si>
    <t>99°,441514,168,7m</t>
  </si>
  <si>
    <t>Marisi</t>
  </si>
  <si>
    <t>Marisi Maju Berkarya</t>
  </si>
  <si>
    <t>Ahmad Yani Siregar</t>
  </si>
  <si>
    <t>1203032207730001</t>
  </si>
  <si>
    <t>082166144343</t>
  </si>
  <si>
    <t>1,2943,99,</t>
  </si>
  <si>
    <t>1950,647,0m,198</t>
  </si>
  <si>
    <t>Pargarutan Jae</t>
  </si>
  <si>
    <t>Sido Rukun</t>
  </si>
  <si>
    <t>Ahmad Saleh Siregar</t>
  </si>
  <si>
    <t>1277022510830008</t>
  </si>
  <si>
    <t>082161418054</t>
  </si>
  <si>
    <t>1,27'11,292"N 99,</t>
  </si>
  <si>
    <t>19'43,458"E+2,50m</t>
  </si>
  <si>
    <t>Simincak Raya</t>
  </si>
  <si>
    <t>Erwin Zufriadi Siregar</t>
  </si>
  <si>
    <t>1203030409840003</t>
  </si>
  <si>
    <t>081264076675</t>
  </si>
  <si>
    <t>1,27'11'292''N99,</t>
  </si>
  <si>
    <t>19'43,458"E+2,51m</t>
  </si>
  <si>
    <t>Pasar Pargarutan</t>
  </si>
  <si>
    <t>M. Yunus</t>
  </si>
  <si>
    <t>1203032812600001</t>
  </si>
  <si>
    <t>082274289440</t>
  </si>
  <si>
    <t>1,27'15''99,</t>
  </si>
  <si>
    <t>18'16,580,5m,229</t>
  </si>
  <si>
    <t>Pargarutan Tonga</t>
  </si>
  <si>
    <t>Bintang Harapan</t>
  </si>
  <si>
    <t>Rahmatun Azmi</t>
  </si>
  <si>
    <t>1220035006760003</t>
  </si>
  <si>
    <t>081376794992</t>
  </si>
  <si>
    <t>1,46971,99,</t>
  </si>
  <si>
    <t>32065,514,8m,191</t>
  </si>
  <si>
    <t>Batangtura Sirumambe</t>
  </si>
  <si>
    <t>Galanggang Jaya</t>
  </si>
  <si>
    <t>Nukman Harahap</t>
  </si>
  <si>
    <t>1203031006810003</t>
  </si>
  <si>
    <t>081269166781</t>
  </si>
  <si>
    <t>1,4827,</t>
  </si>
  <si>
    <t>99,39097,415,0m,234˚</t>
  </si>
  <si>
    <t>Sanggapati</t>
  </si>
  <si>
    <t>Marasi Maju</t>
  </si>
  <si>
    <t>Faisal Erwin Sinaga</t>
  </si>
  <si>
    <t>1203032805860004</t>
  </si>
  <si>
    <t>082361710807</t>
  </si>
  <si>
    <t>1,470265,99,</t>
  </si>
  <si>
    <t>99,363366,518,3m</t>
  </si>
  <si>
    <t>Lombang Masin I</t>
  </si>
  <si>
    <t>Khairul Amru Harahap</t>
  </si>
  <si>
    <t>1203031307100001</t>
  </si>
  <si>
    <t>082361257576</t>
  </si>
  <si>
    <t>1,2743,99,</t>
  </si>
  <si>
    <t>1928,511,0m,171</t>
  </si>
  <si>
    <t xml:space="preserve">Batu Godang </t>
  </si>
  <si>
    <t>Tunas Mekar</t>
  </si>
  <si>
    <t>Parulian Nasution</t>
  </si>
  <si>
    <t>1203013006760001</t>
  </si>
  <si>
    <t>082162978758</t>
  </si>
  <si>
    <t>99’1’32</t>
  </si>
  <si>
    <t>1’22”50’</t>
  </si>
  <si>
    <t xml:space="preserve">Aek Pardomuan </t>
  </si>
  <si>
    <t xml:space="preserve">Sahrul Harahap </t>
  </si>
  <si>
    <t>1203010610720003</t>
  </si>
  <si>
    <t>082163934630</t>
  </si>
  <si>
    <t>91'12'11</t>
  </si>
  <si>
    <t>1'24"49</t>
  </si>
  <si>
    <t>Sangkunur</t>
  </si>
  <si>
    <t xml:space="preserve">Hasara dodo </t>
  </si>
  <si>
    <t>Yasina Gulo</t>
  </si>
  <si>
    <t>1203016002800004</t>
  </si>
  <si>
    <t>082368404566</t>
  </si>
  <si>
    <t>99'152</t>
  </si>
  <si>
    <t>12225˚</t>
  </si>
  <si>
    <t>Glorya</t>
  </si>
  <si>
    <t>Rahmat Dnuru</t>
  </si>
  <si>
    <t>1203010206780002</t>
  </si>
  <si>
    <t>081260485522</t>
  </si>
  <si>
    <t>1.420986˚</t>
  </si>
  <si>
    <t>99.02412˚</t>
  </si>
  <si>
    <t xml:space="preserve">Juanda Lumban Toruan </t>
  </si>
  <si>
    <t>1203012301780002</t>
  </si>
  <si>
    <t>081396444689</t>
  </si>
  <si>
    <t>99'2521</t>
  </si>
  <si>
    <t>1,247˚</t>
  </si>
  <si>
    <t xml:space="preserve">Simataniari </t>
  </si>
  <si>
    <t>Jujur</t>
  </si>
  <si>
    <t xml:space="preserve">Andi Halomoan Rambe </t>
  </si>
  <si>
    <t>1203311807820002</t>
  </si>
  <si>
    <t>081371642379</t>
  </si>
  <si>
    <t>1.370043˚</t>
  </si>
  <si>
    <t>99.011852˚</t>
  </si>
  <si>
    <t>Amanah</t>
  </si>
  <si>
    <t>Suprianto</t>
  </si>
  <si>
    <t>1203011212780006</t>
  </si>
  <si>
    <t>082368839211</t>
  </si>
  <si>
    <t>99'.1726</t>
  </si>
  <si>
    <t>99˚16'35''947,2m,38˚</t>
  </si>
  <si>
    <t>Tidoan Laut</t>
  </si>
  <si>
    <t>Sejati</t>
  </si>
  <si>
    <t xml:space="preserve">Musa Simbolon </t>
  </si>
  <si>
    <t>1203013006780001</t>
  </si>
  <si>
    <t>082273567272</t>
  </si>
  <si>
    <t>1.3630˚</t>
  </si>
  <si>
    <t>99.0280˚</t>
  </si>
  <si>
    <t>Status (Salur/Belum Salur)</t>
  </si>
  <si>
    <t>Belum Salur</t>
  </si>
  <si>
    <t>Titik Koordinat Lintang</t>
  </si>
  <si>
    <t>Titik Koordinat Bujur</t>
  </si>
  <si>
    <t>Parau Sorat Sitabo-tabo</t>
  </si>
  <si>
    <t xml:space="preserve">Amrianto Sihombing </t>
  </si>
  <si>
    <t>1404041004900004</t>
  </si>
  <si>
    <t>085376713545</t>
  </si>
  <si>
    <t>BISI 18</t>
  </si>
  <si>
    <t>Juni</t>
  </si>
  <si>
    <t>Jenis Sumber Dana</t>
  </si>
  <si>
    <t>Induk</t>
  </si>
  <si>
    <t>Salur</t>
  </si>
  <si>
    <t>Rahman Saleh Harahap</t>
  </si>
  <si>
    <t>1203042711840002</t>
  </si>
  <si>
    <t>081265490402</t>
  </si>
  <si>
    <t xml:space="preserve">Sakti Raja </t>
  </si>
  <si>
    <t>082162531546</t>
  </si>
  <si>
    <t xml:space="preserve">Saroha </t>
  </si>
  <si>
    <t>Sugianto Sitompul</t>
  </si>
  <si>
    <t>1203142701800001</t>
  </si>
  <si>
    <t xml:space="preserve">Nanggarjati   </t>
  </si>
  <si>
    <t>Pardamean</t>
  </si>
  <si>
    <t>Nurhotma Delina</t>
  </si>
  <si>
    <t xml:space="preserve">Berkah </t>
  </si>
  <si>
    <t xml:space="preserve">Parmaidi </t>
  </si>
  <si>
    <t>Vensentius Siringo Ringo</t>
  </si>
  <si>
    <t>081376116229</t>
  </si>
  <si>
    <t xml:space="preserve">Sorik </t>
  </si>
  <si>
    <t xml:space="preserve">Sinondang Bulan </t>
  </si>
  <si>
    <t xml:space="preserve">Amin Hijari Matondang </t>
  </si>
  <si>
    <t>08216491526</t>
  </si>
  <si>
    <t>Mondang</t>
  </si>
  <si>
    <t>Bukhori Muslim</t>
  </si>
  <si>
    <t>1203210606690001</t>
  </si>
  <si>
    <t>082174683832</t>
  </si>
  <si>
    <t xml:space="preserve">Sialang </t>
  </si>
  <si>
    <t>Ratna Wati Daulay</t>
  </si>
  <si>
    <t>1203215005680003</t>
  </si>
  <si>
    <t>081360455718</t>
  </si>
  <si>
    <t>Bange</t>
  </si>
  <si>
    <t>Ardi Harahap</t>
  </si>
  <si>
    <t>1203213012650002</t>
  </si>
  <si>
    <t>085372284359</t>
  </si>
  <si>
    <t>Ingul Jae</t>
  </si>
  <si>
    <t>1203210307640004</t>
  </si>
  <si>
    <t>081370063594</t>
  </si>
  <si>
    <t>Sisoma</t>
  </si>
  <si>
    <t>Usaha Tani</t>
  </si>
  <si>
    <t>Sabar Manaon Ritonga</t>
  </si>
  <si>
    <t>120321160972001</t>
  </si>
  <si>
    <t>082167411421</t>
  </si>
  <si>
    <t>Pasar Sitinjak</t>
  </si>
  <si>
    <t>085361608196</t>
  </si>
  <si>
    <t>Silotik</t>
  </si>
  <si>
    <t>Emmida</t>
  </si>
  <si>
    <t>081376061863</t>
  </si>
  <si>
    <t>Ulumamis</t>
  </si>
  <si>
    <t>Pamohonan Rambe</t>
  </si>
  <si>
    <t>127705018720003</t>
  </si>
  <si>
    <t>081273515558</t>
  </si>
  <si>
    <t>Arse Nauli</t>
  </si>
  <si>
    <t>Anggrek</t>
  </si>
  <si>
    <t xml:space="preserve">Juliana Panggabean </t>
  </si>
  <si>
    <t>Suka Maju</t>
  </si>
  <si>
    <t>Maslan Lubis</t>
  </si>
  <si>
    <t>Sauduran</t>
  </si>
  <si>
    <t xml:space="preserve">Ilyas Pulungan </t>
  </si>
  <si>
    <t>Satahi I</t>
  </si>
  <si>
    <t>Hasan Basri</t>
  </si>
  <si>
    <t>1203041109760003</t>
  </si>
  <si>
    <t>082213808207</t>
  </si>
  <si>
    <t>Maraden Parsaulian Gultom</t>
  </si>
  <si>
    <t>1471081703810042</t>
  </si>
  <si>
    <t>081378055715</t>
  </si>
  <si>
    <t>Paran Padang</t>
  </si>
  <si>
    <t>Jaya Tani</t>
  </si>
  <si>
    <t>Partahian</t>
  </si>
  <si>
    <t>1203040857900001</t>
  </si>
  <si>
    <t>082214088757</t>
  </si>
  <si>
    <t>DBH</t>
  </si>
  <si>
    <t>KUR BANK SUMUT</t>
  </si>
  <si>
    <t>Oktober</t>
  </si>
  <si>
    <t>Baringin</t>
  </si>
  <si>
    <t>Maraden Siregar</t>
  </si>
  <si>
    <t>Mardomu Tahi</t>
  </si>
  <si>
    <t>Rismadewi Siregar</t>
  </si>
  <si>
    <t>Tona Marsiurupan</t>
  </si>
  <si>
    <t>Marson Siregar</t>
  </si>
  <si>
    <t>Ahmad Muhajir Siregar</t>
  </si>
  <si>
    <t>Cinta Damai</t>
  </si>
  <si>
    <t>Labora Sohombing</t>
  </si>
  <si>
    <t>Saragodung</t>
  </si>
  <si>
    <t>Suka Bersama</t>
  </si>
  <si>
    <t>M Subuki</t>
  </si>
  <si>
    <t>Paranpadang</t>
  </si>
  <si>
    <t>Pukka Mandiri</t>
  </si>
  <si>
    <t>Marito Harahap</t>
  </si>
  <si>
    <t>Tolang</t>
  </si>
  <si>
    <t>Bersatu</t>
  </si>
  <si>
    <t>Sangkot Pane</t>
  </si>
  <si>
    <t>Zulkarna Marbun</t>
  </si>
  <si>
    <t>Srikandi</t>
  </si>
  <si>
    <t>Sumarni Simatupang</t>
  </si>
  <si>
    <t>Natambang Roncitan</t>
  </si>
  <si>
    <t>Nurhasanah</t>
  </si>
  <si>
    <t>Sentosa Jaya</t>
  </si>
  <si>
    <t>Amsari</t>
  </si>
  <si>
    <t>Lancat</t>
  </si>
  <si>
    <t>Bariba</t>
  </si>
  <si>
    <t>Aminah Harahap</t>
  </si>
  <si>
    <t>Tulus Pangidoan Silaban</t>
  </si>
  <si>
    <t>Pioneer 32</t>
  </si>
  <si>
    <t>Mei</t>
  </si>
  <si>
    <t>1203144208820002</t>
  </si>
  <si>
    <t>1203144611600001</t>
  </si>
  <si>
    <t>1203140608710002</t>
  </si>
  <si>
    <t>1203145509600001</t>
  </si>
  <si>
    <t>1203140309820002</t>
  </si>
  <si>
    <t>081260735674</t>
  </si>
  <si>
    <t>081376228930</t>
  </si>
  <si>
    <t>085381320515</t>
  </si>
  <si>
    <t>1203041812730002</t>
  </si>
  <si>
    <t>083896006209</t>
  </si>
  <si>
    <t>1203214202870011</t>
  </si>
  <si>
    <t>082299807751</t>
  </si>
  <si>
    <t>1203040801680003</t>
  </si>
  <si>
    <t>081361517671</t>
  </si>
  <si>
    <t>1203040610700002</t>
  </si>
  <si>
    <t>082214324196</t>
  </si>
  <si>
    <t>1203042008800002</t>
  </si>
  <si>
    <t>Batu Horpak</t>
  </si>
  <si>
    <t>Saroha II</t>
  </si>
  <si>
    <t>Harapan Siregar</t>
  </si>
  <si>
    <t>1203210602770002</t>
  </si>
  <si>
    <t>082177915437</t>
  </si>
  <si>
    <t>TKD</t>
  </si>
  <si>
    <t>Lumban Huayan</t>
  </si>
  <si>
    <t>Aman Damai</t>
  </si>
  <si>
    <t>Sahaban Pane</t>
  </si>
  <si>
    <t>1203210906820002</t>
  </si>
  <si>
    <t>085270356745</t>
  </si>
  <si>
    <t>Janji Mauli Baringin</t>
  </si>
  <si>
    <t>Gemilang Tani</t>
  </si>
  <si>
    <t>Rinto</t>
  </si>
  <si>
    <t>'1203210107860273</t>
  </si>
  <si>
    <t>'081262603092</t>
  </si>
  <si>
    <t>085297054861</t>
  </si>
  <si>
    <t>Pargumbangan</t>
  </si>
  <si>
    <t>Hoirul Saleh</t>
  </si>
  <si>
    <t>1203071106750002</t>
  </si>
  <si>
    <t>082214760344</t>
  </si>
  <si>
    <t xml:space="preserve">Muaratais II </t>
  </si>
  <si>
    <t>Nandar</t>
  </si>
  <si>
    <t>1203072008710001</t>
  </si>
  <si>
    <t>082165442719</t>
  </si>
  <si>
    <t>Muara Purba Nauli</t>
  </si>
  <si>
    <t>Syukur Madduhir</t>
  </si>
  <si>
    <t>1203070711720001</t>
  </si>
  <si>
    <t>081397788562</t>
  </si>
  <si>
    <t>Muaratais I</t>
  </si>
  <si>
    <t>Soniya Daski</t>
  </si>
  <si>
    <t>120307560500002</t>
  </si>
  <si>
    <t>082277009013</t>
  </si>
  <si>
    <t>Siala Sampagul</t>
  </si>
  <si>
    <t>Jumiana Purba</t>
  </si>
  <si>
    <t>1203146512280001</t>
  </si>
  <si>
    <t>Hairul Abadi</t>
  </si>
  <si>
    <t>1203040103880012</t>
  </si>
  <si>
    <t>082272177820</t>
  </si>
  <si>
    <t>Pintu Padang II</t>
  </si>
  <si>
    <t>085358913443</t>
  </si>
  <si>
    <t>Berdikari</t>
  </si>
  <si>
    <t>Arifin Barasa</t>
  </si>
  <si>
    <t>1203060506790004</t>
  </si>
  <si>
    <t>082272202429</t>
  </si>
  <si>
    <t>Gunung Baringin</t>
  </si>
  <si>
    <t>Sialang Pardomuan</t>
  </si>
  <si>
    <t>Faisal Rasoki</t>
  </si>
  <si>
    <t>1277020602860001</t>
  </si>
  <si>
    <t>082267967831</t>
  </si>
  <si>
    <t>Harapan Jaya</t>
  </si>
  <si>
    <t>Ali Sapran Hasibuan</t>
  </si>
  <si>
    <t>1203062712760002</t>
  </si>
  <si>
    <t>081263599835</t>
  </si>
  <si>
    <t>Maju Jaya</t>
  </si>
  <si>
    <t>Lingga Siregar</t>
  </si>
  <si>
    <t>1203201010740005</t>
  </si>
  <si>
    <t>081263248636</t>
  </si>
  <si>
    <t>Lestari</t>
  </si>
  <si>
    <t>Alek P Ritonga</t>
  </si>
  <si>
    <t>1203202006810001</t>
  </si>
  <si>
    <t>081376410136</t>
  </si>
  <si>
    <t>Lobulayan Sigordang</t>
  </si>
  <si>
    <t>Sanggarudang</t>
  </si>
  <si>
    <t>Nuar Ritonga</t>
  </si>
  <si>
    <t>1203010701620001</t>
  </si>
  <si>
    <t>081361145916</t>
  </si>
  <si>
    <t>Paima Situmorang</t>
  </si>
  <si>
    <t>Juli</t>
  </si>
  <si>
    <t>1°5'19''</t>
  </si>
  <si>
    <t>99°25'2''</t>
  </si>
  <si>
    <t>1°2'40''</t>
  </si>
  <si>
    <t>99°26'42''</t>
  </si>
  <si>
    <t>1°7'10''</t>
  </si>
  <si>
    <t>99°25'14,''181,7m,284°</t>
  </si>
  <si>
    <t>1°451"</t>
  </si>
  <si>
    <t>99°25'49", 159,04,258°</t>
  </si>
  <si>
    <t>1°13'9'</t>
  </si>
  <si>
    <t>99°22'46,"2024m</t>
  </si>
  <si>
    <t xml:space="preserve"> 99,37115, 208,2 m,98°</t>
  </si>
  <si>
    <t>1°16'56"</t>
  </si>
  <si>
    <t>99°21'13",214,9m,118°</t>
  </si>
  <si>
    <t>1°17'15"</t>
  </si>
  <si>
    <t>99°20'14",221,5m,219°</t>
  </si>
  <si>
    <t>1°18'16"</t>
  </si>
  <si>
    <t>99°2051",238,5m,144°</t>
  </si>
  <si>
    <t>1,304844°</t>
  </si>
  <si>
    <t>99,338576°</t>
  </si>
  <si>
    <t>1°63023"</t>
  </si>
  <si>
    <t>99°29515,278,5pt,62°</t>
  </si>
  <si>
    <t>1⁰35'50"</t>
  </si>
  <si>
    <t>99⁰,15'57",947,6m,78⁰</t>
  </si>
  <si>
    <t>1'1427"</t>
  </si>
  <si>
    <t>1.22797N</t>
  </si>
  <si>
    <t>99.11873E</t>
  </si>
  <si>
    <t>1.2197N</t>
  </si>
  <si>
    <t>99.2487E</t>
  </si>
  <si>
    <t>99,16828, 707m, 266°</t>
  </si>
  <si>
    <t xml:space="preserve">1.522011°N  </t>
  </si>
  <si>
    <t>99.166922°E</t>
  </si>
  <si>
    <t>1°25'57"</t>
  </si>
  <si>
    <t>99°13'12",612,7m,326</t>
  </si>
  <si>
    <t>1.39837</t>
  </si>
  <si>
    <t>99.185356</t>
  </si>
  <si>
    <t>Reguler</t>
  </si>
  <si>
    <t>Desa Sabatolang</t>
  </si>
  <si>
    <t>Desa Hutaraja</t>
  </si>
  <si>
    <t>Desa Aek Latong</t>
  </si>
  <si>
    <t>Kel Pasar Sipirok</t>
  </si>
  <si>
    <t>Kel Sipirok Godang</t>
  </si>
  <si>
    <t>Pagaran Batu Kel Parau Sorat</t>
  </si>
  <si>
    <t>Desa Pangurabaan</t>
  </si>
  <si>
    <t>Desa Simaninggir</t>
  </si>
  <si>
    <t>Pangkal Dolok Kel Parau Sorat</t>
  </si>
  <si>
    <t>Desa Panaungan</t>
  </si>
  <si>
    <t>Kel Bunga Bondar</t>
  </si>
  <si>
    <t>Desa Sibadoar</t>
  </si>
  <si>
    <t>Desa Pahae Aek Sagala</t>
  </si>
  <si>
    <t>Desa Sampean</t>
  </si>
  <si>
    <t>Desa Padang Bujur</t>
  </si>
  <si>
    <t>Desa Luat Lombang</t>
  </si>
  <si>
    <t>Desa Ramba Sihasur</t>
  </si>
  <si>
    <t>Desa Sihaborgoan</t>
  </si>
  <si>
    <t>Desa Pargarutan</t>
  </si>
  <si>
    <t>Sitabo-tabo Desa Parau Sorat</t>
  </si>
  <si>
    <t>Desa Simanosor Julu</t>
  </si>
  <si>
    <t>Desa Pasar Sipagimbar</t>
  </si>
  <si>
    <t>Kel Lancat</t>
  </si>
  <si>
    <t>Tabusira Kel Tinggaras</t>
  </si>
  <si>
    <t>Desa Marisi</t>
  </si>
  <si>
    <t>Desa Marancar Julu</t>
  </si>
  <si>
    <t>Desa Sibongbong</t>
  </si>
  <si>
    <t>Desa Simatorkis</t>
  </si>
  <si>
    <t>Desa Samuran</t>
  </si>
  <si>
    <t>RASKI ALIANDA</t>
  </si>
  <si>
    <t>SAHLAN SIREGAR</t>
  </si>
  <si>
    <t>LASMARIA HASIBUAN</t>
  </si>
  <si>
    <t>ROSTINA DAMANIK</t>
  </si>
  <si>
    <t>AMIR SYAM</t>
  </si>
  <si>
    <t>SAKTI RAJA HARAHAP</t>
  </si>
  <si>
    <t>RATNASARI</t>
  </si>
  <si>
    <t>TOGA JUANG NATIGOR SIREGAR</t>
  </si>
  <si>
    <t>YUSRAN ARIF TANJUNG</t>
  </si>
  <si>
    <t>RAJO AMIN SIREGAR</t>
  </si>
  <si>
    <t>SULAIMAN SIREGAR</t>
  </si>
  <si>
    <t>ROBINSON</t>
  </si>
  <si>
    <t>MARWAN SALEH SIREGAR</t>
  </si>
  <si>
    <t>SITI ONGGUN</t>
  </si>
  <si>
    <t>ESMINA PASARIBU</t>
  </si>
  <si>
    <t>NURHASANA</t>
  </si>
  <si>
    <t>AHMAD RAWI SIREGAR</t>
  </si>
  <si>
    <t>SITI NUR SAHARA</t>
  </si>
  <si>
    <t>ELVINA SARI LUBIS</t>
  </si>
  <si>
    <t>NIKMA HAYATI HASIBUAN</t>
  </si>
  <si>
    <t>ROSMIANI</t>
  </si>
  <si>
    <t>NOFRIANA SIHOMBING</t>
  </si>
  <si>
    <t>DONA TAMBUNAN</t>
  </si>
  <si>
    <t>SAPRI SIREGAR</t>
  </si>
  <si>
    <t>AHMAD SOFYAN HARAHAP</t>
  </si>
  <si>
    <t>SURIANI</t>
  </si>
  <si>
    <t>SIMBUN SIREGAR</t>
  </si>
  <si>
    <t>SOBIRIN SIREGAR</t>
  </si>
  <si>
    <t>HARUN PARDOMUAN HARAHAP</t>
  </si>
  <si>
    <t>SYARIPUDDIN SIREGAR</t>
  </si>
  <si>
    <t>BAKRIN SIREGAR</t>
  </si>
  <si>
    <t>ZUL HAKIM HARAHAP</t>
  </si>
  <si>
    <t>RIKO BAGINDA TAGOR SIREGAR</t>
  </si>
  <si>
    <t>PARTHAHAN SIREGAR</t>
  </si>
  <si>
    <t>MASRONA RITONGA</t>
  </si>
  <si>
    <t>IBRAHIM SAGALA</t>
  </si>
  <si>
    <t>AUWIN PAKPAHAN</t>
  </si>
  <si>
    <t>RAHMAD PANE</t>
  </si>
  <si>
    <t>JUNAEDI SIREGAR</t>
  </si>
  <si>
    <t>HOIRUN NASUTION</t>
  </si>
  <si>
    <t>MUHAMMAD SUBUKI SIREGAR</t>
  </si>
  <si>
    <t>FEREDY SIREGAR</t>
  </si>
  <si>
    <t>RAMADAN PULUNGAN</t>
  </si>
  <si>
    <t>UCOK SAPUTRA PULUNGAN</t>
  </si>
  <si>
    <t>GUSNI ANITA HARAHAP</t>
  </si>
  <si>
    <t>DARWIS SALE PANE</t>
  </si>
  <si>
    <t>JAMSIR SINAGA</t>
  </si>
  <si>
    <t>TAHIR PANE</t>
  </si>
  <si>
    <t>PAIMA SIREGAR</t>
  </si>
  <si>
    <t>ALIF SUTRISNO</t>
  </si>
  <si>
    <t>BORKAT MUDA SIREGAR</t>
  </si>
  <si>
    <t>RAHMAD EFENDI SIREGAR</t>
  </si>
  <si>
    <t>AGUS SITOMPUL</t>
  </si>
  <si>
    <t>PANGARIBUAN RITONGA</t>
  </si>
  <si>
    <t>SUPRYADI</t>
  </si>
  <si>
    <t>ANWAR SALEH SIREGAR</t>
  </si>
  <si>
    <t>RIZAL SIREGAR</t>
  </si>
  <si>
    <t>DAHLUN SIREGAR</t>
  </si>
  <si>
    <t>MARAHOT HARAHAP</t>
  </si>
  <si>
    <t>TOHIR SIREGAR</t>
  </si>
  <si>
    <t>MAJU SIHOMBING</t>
  </si>
  <si>
    <t>AMRIANTO SIHOMBING</t>
  </si>
  <si>
    <t>ALI USBA HARAHAP</t>
  </si>
  <si>
    <t>SAMBUNGAN SIHOMBING</t>
  </si>
  <si>
    <t>NAZIRUDDIN SIHOMBING</t>
  </si>
  <si>
    <t>SOFYAN SARIONO SIHOMBING</t>
  </si>
  <si>
    <t>SAMPIT POHAN</t>
  </si>
  <si>
    <t>DAMAN SIHOMBING</t>
  </si>
  <si>
    <t>ELIANI</t>
  </si>
  <si>
    <t>MULYANI ASRI</t>
  </si>
  <si>
    <t>MAHYUDIN RAHMAT PANE</t>
  </si>
  <si>
    <t>ZULKIPLI PASARIBU</t>
  </si>
  <si>
    <t>PARDI BATUBARA</t>
  </si>
  <si>
    <t>ENDRY SIREGAR</t>
  </si>
  <si>
    <t>HAMIDAN SIAGIAN</t>
  </si>
  <si>
    <t>HOTMA ELIA SER SIREGAR</t>
  </si>
  <si>
    <t>IHSAN HARAHAP</t>
  </si>
  <si>
    <t>MUSLIM HARAHAP</t>
  </si>
  <si>
    <t>GONGMATA TANJUNG</t>
  </si>
  <si>
    <t>RIPAI POHAN</t>
  </si>
  <si>
    <t>PARTAONAN HARAHAP</t>
  </si>
  <si>
    <t>RINO PRISANDI</t>
  </si>
  <si>
    <t>SUDIRHAMNAWI</t>
  </si>
  <si>
    <t>PARULIAN RITONGA</t>
  </si>
  <si>
    <t>ANDI SAPUTRA HARAHAP</t>
  </si>
  <si>
    <t>ASMAN SORMIN</t>
  </si>
  <si>
    <t>YUSUP PAKPAHAN</t>
  </si>
  <si>
    <t>IWAN SARIP NASUTION</t>
  </si>
  <si>
    <t>IRBEN HARAHAP</t>
  </si>
  <si>
    <t>YUSTI DIANA</t>
  </si>
  <si>
    <t>KUR JAGUNG</t>
  </si>
  <si>
    <t>Total</t>
  </si>
  <si>
    <t xml:space="preserve">https://drive.google.com/drive/folders/1ZUMhN6UtkgnQSuCunWYF8egT5skmjzTP?usp=drive_link </t>
  </si>
  <si>
    <t>Tautan Berkas (Google Drive)</t>
  </si>
  <si>
    <t xml:space="preserve">https://drive.google.com/drive/folders/1rX9LoeGsLej7Tcv5J1pYOot0KZ57YT1x?usp=drive_link </t>
  </si>
  <si>
    <t xml:space="preserve">https://drive.google.com/drive/folders/1s-OqaY0tsHwxdUSlofxQ8Uk-tNaYYwlJ?usp=drive_link </t>
  </si>
  <si>
    <t xml:space="preserve">https://drive.google.com/drive/folders/1zkWlxYJZ8rgcbQeMsYmVeSfODSvVGuQw?usp=drive_link </t>
  </si>
  <si>
    <t>Sasaran tanam oktober 2025-september 2026</t>
  </si>
  <si>
    <t>MT APRIL sd SEPT</t>
  </si>
  <si>
    <t>OKT</t>
  </si>
  <si>
    <t>NOP</t>
  </si>
  <si>
    <t>DES</t>
  </si>
  <si>
    <t>JAN</t>
  </si>
  <si>
    <t>FEB</t>
  </si>
  <si>
    <t>MAR</t>
  </si>
  <si>
    <t>APRIL</t>
  </si>
  <si>
    <t>MEI</t>
  </si>
  <si>
    <t>JUNI</t>
  </si>
  <si>
    <t>JULI</t>
  </si>
  <si>
    <t>AGUST</t>
  </si>
  <si>
    <t>SEPT</t>
  </si>
  <si>
    <t>BATANG ANGKOLA</t>
  </si>
  <si>
    <t>SAYUR MATINGGI</t>
  </si>
  <si>
    <t>TANO TOMBANGAN ANGKOLA</t>
  </si>
  <si>
    <t>ANGKOLA MUARA TAIS</t>
  </si>
  <si>
    <t>ANGKOLA TIMUR</t>
  </si>
  <si>
    <t>ANGKOLA SELATAN</t>
  </si>
  <si>
    <t>ANGKOLA BARAT</t>
  </si>
  <si>
    <t>ANGKOLA SANGKUNUR</t>
  </si>
  <si>
    <t>BATANG TORU</t>
  </si>
  <si>
    <t>MARANCAR</t>
  </si>
  <si>
    <t>MUARA BATANG TORU</t>
  </si>
  <si>
    <t>SIPIROK</t>
  </si>
  <si>
    <t>ARSE</t>
  </si>
  <si>
    <t>SAIPAR DOLOK HOLE</t>
  </si>
  <si>
    <t>AEK BILAH</t>
  </si>
  <si>
    <t> TOTAL</t>
  </si>
  <si>
    <t>Realisasi Tanam Jagung Oktober 2025 - September 2026</t>
  </si>
  <si>
    <t>Selisih target-realisasi</t>
  </si>
  <si>
    <t>Nama Kecamatan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</si>
  <si>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</si>
  <si>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</si>
  <si>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</si>
  <si>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</si>
  <si>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</si>
  <si>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</si>
  <si>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</si>
  <si>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</si>
  <si>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</si>
  <si>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</si>
  <si>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</si>
  <si>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</si>
  <si>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Total </t>
  </si>
  <si>
    <t>Sept</t>
  </si>
  <si>
    <t>Standing Crop (Tanaman Tegakan di Lapangan)</t>
  </si>
  <si>
    <t>Luas Puso (Gagal Panen)</t>
  </si>
  <si>
    <t xml:space="preserve">Luas Panen  Jagung </t>
  </si>
  <si>
    <t>LUAS PANEN DAN PRODUKSI JAGUNG PER TRIWULAN</t>
  </si>
  <si>
    <t>KABUPATEN TAPANULI SELATAN TAHUN 2026</t>
  </si>
  <si>
    <t>TRIWULAN I</t>
  </si>
  <si>
    <t>TRIWULAN II</t>
  </si>
  <si>
    <t>TRIWULAN III</t>
  </si>
  <si>
    <t>TRIWULAN IV</t>
  </si>
  <si>
    <t>TOTAL SETAHUN</t>
  </si>
  <si>
    <t>LUAS PANEN (HA)</t>
  </si>
  <si>
    <t>PRODUKSI (TON)</t>
  </si>
  <si>
    <t>LUAS PANEN</t>
  </si>
  <si>
    <t>PRODUKSI</t>
  </si>
  <si>
    <t>Agust</t>
  </si>
  <si>
    <t>Okt</t>
  </si>
  <si>
    <t>Des</t>
  </si>
  <si>
    <t>Produktivitas : 60 kw/Ha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</si>
</sst>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72" formatCode="_(* #,##0_);_(* \(#,##0\);_(* &quot;-&quot;??_);_(@_)"/>
    <numFmt numFmtId="176" formatCode="_-* #,##0.00_-;\-* #,##0.00_-;_-* &quot;-&quot;_-;_-@_-"/>
  </numFmts>
  <fonts count="23" x14ac:knownFonts="1">
    <font>
      <sz val="11"/>
      <name val="Calibri"/>
    </font>
    <font>
      <b/>
      <sz val="11"/>
      <color rgb="FFFFFFFF"/>
      <name val="Calibri"/>
    </font>
    <font>
      <b/>
      <sz val="11"/>
      <color rgb="FF173C2F"/>
      <name val="Calibri"/>
    </font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Aptos Narrow"/>
      <family val="2"/>
      <charset val="1"/>
      <scheme val="minor"/>
    </font>
    <font>
      <sz val="10"/>
      <color indexed="8"/>
      <name val="Calibri"/>
      <family val="2"/>
    </font>
    <font>
      <sz val="8"/>
      <name val="Calibri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b/>
      <i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55E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1B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4FFB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13" fillId="0" borderId="0" applyNumberFormat="0" applyFill="0" applyBorder="0" applyAlignment="0" applyProtection="0"/>
    <xf numFmtId="0" fontId="18" fillId="0" borderId="0"/>
  </cellStyleXfs>
  <cellXfs count="142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vertical="center"/>
    </xf>
    <xf numFmtId="49" fontId="8" fillId="0" borderId="0" xfId="0" quotePrefix="1" applyNumberFormat="1" applyFont="1" applyBorder="1" applyAlignment="1">
      <alignment horizontal="center" vertical="center"/>
    </xf>
    <xf numFmtId="43" fontId="8" fillId="0" borderId="0" xfId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7" fontId="8" fillId="0" borderId="0" xfId="0" applyNumberFormat="1" applyFont="1" applyBorder="1" applyAlignment="1">
      <alignment horizontal="center" vertical="center"/>
    </xf>
    <xf numFmtId="0" fontId="8" fillId="0" borderId="0" xfId="0" quotePrefix="1" applyFont="1" applyBorder="1" applyAlignment="1">
      <alignment horizontal="center" vertical="center" wrapText="1"/>
    </xf>
    <xf numFmtId="0" fontId="8" fillId="0" borderId="0" xfId="0" quotePrefix="1" applyFont="1" applyBorder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8" fillId="0" borderId="0" xfId="0" quotePrefix="1" applyFont="1" applyBorder="1" applyAlignment="1">
      <alignment horizontal="left" vertical="center"/>
    </xf>
    <xf numFmtId="0" fontId="5" fillId="0" borderId="0" xfId="0" applyFont="1"/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43" fontId="1" fillId="2" borderId="0" xfId="1" applyFont="1" applyFill="1" applyAlignment="1">
      <alignment vertical="center" wrapText="1"/>
    </xf>
    <xf numFmtId="43" fontId="0" fillId="0" borderId="0" xfId="1" applyFont="1"/>
    <xf numFmtId="43" fontId="2" fillId="0" borderId="0" xfId="1" applyFont="1"/>
    <xf numFmtId="0" fontId="8" fillId="0" borderId="0" xfId="0" applyFont="1" applyBorder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43" fontId="2" fillId="0" borderId="0" xfId="1" applyNumberFormat="1" applyFont="1"/>
    <xf numFmtId="172" fontId="0" fillId="0" borderId="0" xfId="1" applyNumberFormat="1" applyFont="1"/>
    <xf numFmtId="172" fontId="2" fillId="0" borderId="0" xfId="1" applyNumberFormat="1" applyFont="1"/>
    <xf numFmtId="43" fontId="7" fillId="0" borderId="0" xfId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8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quotePrefix="1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center" vertical="center"/>
    </xf>
    <xf numFmtId="0" fontId="9" fillId="0" borderId="0" xfId="0" quotePrefix="1" applyFont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9" fillId="0" borderId="0" xfId="0" quotePrefix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3" fontId="8" fillId="0" borderId="0" xfId="0" applyNumberFormat="1" applyFont="1" applyBorder="1" applyAlignment="1">
      <alignment horizontal="left" vertical="center"/>
    </xf>
    <xf numFmtId="0" fontId="9" fillId="3" borderId="0" xfId="4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1" fontId="11" fillId="0" borderId="0" xfId="0" applyNumberFormat="1" applyFont="1" applyBorder="1" applyAlignment="1">
      <alignment horizontal="left" vertical="center"/>
    </xf>
    <xf numFmtId="0" fontId="7" fillId="3" borderId="0" xfId="4" applyFont="1" applyFill="1" applyBorder="1" applyAlignment="1">
      <alignment horizontal="left" vertical="center"/>
    </xf>
    <xf numFmtId="0" fontId="8" fillId="3" borderId="0" xfId="4" applyFont="1" applyFill="1" applyBorder="1" applyAlignment="1">
      <alignment horizontal="left" vertical="center"/>
    </xf>
    <xf numFmtId="43" fontId="0" fillId="0" borderId="0" xfId="0" applyNumberFormat="1"/>
    <xf numFmtId="43" fontId="7" fillId="0" borderId="0" xfId="0" applyNumberFormat="1" applyFont="1" applyAlignment="1">
      <alignment vertical="center"/>
    </xf>
    <xf numFmtId="43" fontId="7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horizontal="center" vertical="center" wrapText="1"/>
    </xf>
    <xf numFmtId="0" fontId="13" fillId="0" borderId="0" xfId="5"/>
    <xf numFmtId="0" fontId="0" fillId="0" borderId="0" xfId="0" applyAlignment="1">
      <alignment horizontal="left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0" fillId="0" borderId="10" xfId="0" applyBorder="1"/>
    <xf numFmtId="43" fontId="16" fillId="0" borderId="10" xfId="1" applyFont="1" applyBorder="1" applyAlignment="1">
      <alignment vertical="center"/>
    </xf>
    <xf numFmtId="3" fontId="17" fillId="0" borderId="10" xfId="0" applyNumberFormat="1" applyFont="1" applyBorder="1" applyAlignment="1">
      <alignment vertical="center"/>
    </xf>
    <xf numFmtId="43" fontId="18" fillId="0" borderId="1" xfId="1" applyFont="1" applyBorder="1"/>
    <xf numFmtId="43" fontId="16" fillId="0" borderId="12" xfId="1" applyFont="1" applyBorder="1" applyAlignment="1">
      <alignment vertical="center"/>
    </xf>
    <xf numFmtId="43" fontId="16" fillId="0" borderId="13" xfId="1" applyFont="1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14" fillId="0" borderId="15" xfId="0" applyFont="1" applyBorder="1" applyAlignment="1">
      <alignment vertical="center"/>
    </xf>
    <xf numFmtId="1" fontId="14" fillId="0" borderId="15" xfId="0" applyNumberFormat="1" applyFont="1" applyBorder="1" applyAlignment="1">
      <alignment vertical="center"/>
    </xf>
    <xf numFmtId="0" fontId="0" fillId="3" borderId="0" xfId="0" applyFill="1"/>
    <xf numFmtId="43" fontId="17" fillId="0" borderId="10" xfId="1" applyFont="1" applyBorder="1" applyAlignment="1">
      <alignment vertical="center"/>
    </xf>
    <xf numFmtId="43" fontId="16" fillId="0" borderId="0" xfId="1" applyFont="1" applyBorder="1" applyAlignment="1">
      <alignment vertical="center"/>
    </xf>
    <xf numFmtId="43" fontId="14" fillId="0" borderId="15" xfId="1" applyFont="1" applyBorder="1" applyAlignment="1">
      <alignment vertical="center"/>
    </xf>
    <xf numFmtId="1" fontId="0" fillId="0" borderId="0" xfId="0" applyNumberFormat="1"/>
    <xf numFmtId="43" fontId="14" fillId="0" borderId="1" xfId="1" applyFont="1" applyBorder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9" fillId="0" borderId="1" xfId="0" applyFont="1" applyBorder="1" applyAlignment="1">
      <alignment vertical="center"/>
    </xf>
    <xf numFmtId="1" fontId="19" fillId="0" borderId="1" xfId="0" applyNumberFormat="1" applyFont="1" applyBorder="1" applyAlignment="1">
      <alignment horizontal="center"/>
    </xf>
    <xf numFmtId="0" fontId="0" fillId="0" borderId="1" xfId="0" applyBorder="1"/>
    <xf numFmtId="43" fontId="0" fillId="4" borderId="1" xfId="1" applyFont="1" applyFill="1" applyBorder="1" applyAlignment="1">
      <alignment horizontal="right"/>
    </xf>
    <xf numFmtId="43" fontId="0" fillId="5" borderId="1" xfId="1" applyFont="1" applyFill="1" applyBorder="1" applyAlignment="1">
      <alignment horizontal="right"/>
    </xf>
    <xf numFmtId="43" fontId="20" fillId="0" borderId="10" xfId="1" applyFont="1" applyBorder="1" applyAlignment="1">
      <alignment vertical="center"/>
    </xf>
    <xf numFmtId="43" fontId="21" fillId="0" borderId="1" xfId="1" applyFont="1" applyBorder="1"/>
    <xf numFmtId="43" fontId="20" fillId="0" borderId="12" xfId="1" applyFont="1" applyBorder="1" applyAlignment="1">
      <alignment vertical="center"/>
    </xf>
    <xf numFmtId="43" fontId="20" fillId="0" borderId="13" xfId="1" applyFont="1" applyBorder="1" applyAlignment="1">
      <alignment vertical="center"/>
    </xf>
    <xf numFmtId="0" fontId="19" fillId="0" borderId="1" xfId="0" applyFont="1" applyBorder="1" applyAlignment="1">
      <alignment horizontal="right"/>
    </xf>
    <xf numFmtId="1" fontId="19" fillId="4" borderId="1" xfId="0" applyNumberFormat="1" applyFont="1" applyFill="1" applyBorder="1" applyAlignment="1">
      <alignment horizontal="right"/>
    </xf>
    <xf numFmtId="1" fontId="19" fillId="5" borderId="1" xfId="0" applyNumberFormat="1" applyFont="1" applyFill="1" applyBorder="1" applyAlignment="1">
      <alignment horizontal="right"/>
    </xf>
    <xf numFmtId="43" fontId="19" fillId="4" borderId="1" xfId="1" applyFont="1" applyFill="1" applyBorder="1" applyAlignment="1">
      <alignment horizontal="right"/>
    </xf>
    <xf numFmtId="43" fontId="0" fillId="0" borderId="1" xfId="0" applyNumberFormat="1" applyBorder="1"/>
    <xf numFmtId="1" fontId="19" fillId="0" borderId="1" xfId="0" applyNumberFormat="1" applyFont="1" applyFill="1" applyBorder="1" applyAlignment="1">
      <alignment horizontal="center"/>
    </xf>
    <xf numFmtId="43" fontId="20" fillId="0" borderId="1" xfId="1" applyFont="1" applyBorder="1" applyAlignment="1">
      <alignment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10" fontId="14" fillId="0" borderId="16" xfId="3" applyNumberFormat="1" applyFont="1" applyFill="1" applyBorder="1" applyAlignment="1">
      <alignment vertical="center"/>
    </xf>
    <xf numFmtId="10" fontId="0" fillId="0" borderId="0" xfId="3" applyNumberFormat="1" applyFont="1"/>
    <xf numFmtId="43" fontId="0" fillId="6" borderId="1" xfId="1" applyFont="1" applyFill="1" applyBorder="1" applyAlignment="1">
      <alignment horizontal="right"/>
    </xf>
    <xf numFmtId="43" fontId="19" fillId="6" borderId="1" xfId="1" applyFont="1" applyFill="1" applyBorder="1" applyAlignment="1">
      <alignment horizontal="right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43" fontId="16" fillId="0" borderId="1" xfId="1" applyFont="1" applyBorder="1" applyAlignment="1">
      <alignment vertical="center"/>
    </xf>
    <xf numFmtId="43" fontId="17" fillId="0" borderId="1" xfId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21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19" fillId="0" borderId="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" fontId="19" fillId="7" borderId="3" xfId="0" applyNumberFormat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1" fontId="19" fillId="8" borderId="1" xfId="0" applyNumberFormat="1" applyFont="1" applyFill="1" applyBorder="1" applyAlignment="1">
      <alignment horizontal="center"/>
    </xf>
    <xf numFmtId="1" fontId="19" fillId="8" borderId="20" xfId="0" applyNumberFormat="1" applyFont="1" applyFill="1" applyBorder="1" applyAlignment="1">
      <alignment horizontal="center"/>
    </xf>
    <xf numFmtId="1" fontId="19" fillId="7" borderId="2" xfId="0" applyNumberFormat="1" applyFont="1" applyFill="1" applyBorder="1" applyAlignment="1">
      <alignment horizontal="center" vertical="center" wrapText="1"/>
    </xf>
    <xf numFmtId="1" fontId="18" fillId="4" borderId="1" xfId="6" applyNumberFormat="1" applyFill="1" applyBorder="1" applyAlignment="1">
      <alignment horizontal="right"/>
    </xf>
    <xf numFmtId="1" fontId="18" fillId="5" borderId="1" xfId="6" applyNumberFormat="1" applyFill="1" applyBorder="1" applyAlignment="1">
      <alignment horizontal="right"/>
    </xf>
    <xf numFmtId="176" fontId="0" fillId="9" borderId="1" xfId="2" applyNumberFormat="1" applyFont="1" applyFill="1" applyBorder="1" applyAlignment="1">
      <alignment horizontal="right"/>
    </xf>
    <xf numFmtId="176" fontId="0" fillId="4" borderId="1" xfId="2" applyNumberFormat="1" applyFont="1" applyFill="1" applyBorder="1" applyAlignment="1">
      <alignment horizontal="right"/>
    </xf>
    <xf numFmtId="176" fontId="0" fillId="5" borderId="1" xfId="2" applyNumberFormat="1" applyFont="1" applyFill="1" applyBorder="1" applyAlignment="1">
      <alignment horizontal="right"/>
    </xf>
    <xf numFmtId="176" fontId="0" fillId="7" borderId="1" xfId="0" applyNumberFormat="1" applyFill="1" applyBorder="1"/>
    <xf numFmtId="0" fontId="18" fillId="4" borderId="1" xfId="6" applyFill="1" applyBorder="1" applyAlignment="1">
      <alignment horizontal="right"/>
    </xf>
    <xf numFmtId="0" fontId="18" fillId="5" borderId="1" xfId="6" applyFill="1" applyBorder="1" applyAlignment="1">
      <alignment horizontal="right"/>
    </xf>
    <xf numFmtId="176" fontId="19" fillId="4" borderId="1" xfId="2" applyNumberFormat="1" applyFont="1" applyFill="1" applyBorder="1" applyAlignment="1">
      <alignment horizontal="right"/>
    </xf>
    <xf numFmtId="176" fontId="19" fillId="5" borderId="1" xfId="2" applyNumberFormat="1" applyFont="1" applyFill="1" applyBorder="1" applyAlignment="1">
      <alignment horizontal="right"/>
    </xf>
    <xf numFmtId="176" fontId="19" fillId="9" borderId="1" xfId="2" applyNumberFormat="1" applyFont="1" applyFill="1" applyBorder="1" applyAlignment="1">
      <alignment horizontal="right"/>
    </xf>
    <xf numFmtId="176" fontId="22" fillId="7" borderId="1" xfId="0" applyNumberFormat="1" applyFont="1" applyFill="1" applyBorder="1"/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1" fontId="19" fillId="7" borderId="1" xfId="0" applyNumberFormat="1" applyFont="1" applyFill="1" applyBorder="1" applyAlignment="1">
      <alignment horizontal="center" vertical="center" wrapText="1"/>
    </xf>
  </cellXfs>
  <cellStyles count="7">
    <cellStyle name="Hipertaut" xfId="5" builtinId="8"/>
    <cellStyle name="Koma" xfId="1" builtinId="3"/>
    <cellStyle name="Koma [0]" xfId="2" builtinId="6"/>
    <cellStyle name="Normal" xfId="0" builtinId="0"/>
    <cellStyle name="Normal 2" xfId="6" xr:uid="{2DF4DE66-D0C3-407E-8245-DCA0991FA456}"/>
    <cellStyle name="Normal 3" xfId="4" xr:uid="{7FCB818B-F7ED-4443-91D9-39DC9A91DF26}"/>
    <cellStyle name="Persen" xfId="3" builtinId="5"/>
  </cellStyles>
  <dxfs count="4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55E4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55E4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2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72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5" formatCode="_(* #,##0.00_);_(* \(#,##0.00\);_(* &quot;-&quot;??_);_(@_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35" formatCode="_(* #,##0.00_);_(* \(#,##0.0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155E4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BF90CC-0171-4C68-A238-AD27E3EE7899}" name="Tabel2" displayName="Tabel2" ref="A1:R327" totalsRowCount="1" headerRowDxfId="43" dataDxfId="44">
  <autoFilter ref="A1:R326" xr:uid="{03BF90CC-0171-4C68-A238-AD27E3EE7899}"/>
  <tableColumns count="18">
    <tableColumn id="1" xr3:uid="{79076E09-85C9-4A5A-B25C-093B14B8FAD8}" name="No" totalsRowLabel="Total" dataDxfId="42" totalsRowDxfId="22">
      <calculatedColumnFormula>IF(D2="","",ROW()-1)</calculatedColumnFormula>
    </tableColumn>
    <tableColumn id="2" xr3:uid="{2F1A78EA-9659-45AE-81E5-2AE55D3F3263}" name="Sumber Dana" dataDxfId="41" totalsRowDxfId="21"/>
    <tableColumn id="24" xr3:uid="{B4AD417F-D446-4943-83E2-48636436604B}" name="Jenis Sumber Dana" dataDxfId="40" totalsRowDxfId="20"/>
    <tableColumn id="3" xr3:uid="{B98217FE-DC04-4934-B8F2-2F75FA8D573A}" name="Kecamatan" dataDxfId="39" totalsRowDxfId="19"/>
    <tableColumn id="4" xr3:uid="{83D9D0FC-ECB2-475C-B101-361FB68494E0}" name="Desa/Kelurahan" dataDxfId="38" totalsRowDxfId="18"/>
    <tableColumn id="5" xr3:uid="{58C6EC03-775C-48C8-B099-92478779D7AC}" name="Poktan/Brigade Pangan" dataDxfId="37" totalsRowDxfId="17"/>
    <tableColumn id="6" xr3:uid="{6B3F9E0F-76AC-4D8A-A89E-9779A045472C}" name="Nama Ketua" dataDxfId="36" totalsRowDxfId="16"/>
    <tableColumn id="7" xr3:uid="{19CA303C-6584-47E3-B3E9-00ADD3EEF97E}" name="NIK" dataDxfId="35" totalsRowDxfId="15"/>
    <tableColumn id="8" xr3:uid="{F0E89863-2ACC-44EC-8965-2FB885326759}" name="No Telp/HP" dataDxfId="34" totalsRowDxfId="14"/>
    <tableColumn id="9" xr3:uid="{3C2C5D4E-024F-42D4-9CF5-92262A7E6320}" name="Jlh Anggota (Org)" totalsRowFunction="sum" dataDxfId="33" totalsRowDxfId="23"/>
    <tableColumn id="10" xr3:uid="{C53884F8-BFDF-4233-AB7E-3B315253DFAA}" name="Luas Lahan (Ha)" totalsRowFunction="sum" dataDxfId="32" totalsRowDxfId="8"/>
    <tableColumn id="11" xr3:uid="{58A02081-3BF4-48B1-B221-82219E2B65E5}" name="Volume Benih (Kg)" totalsRowFunction="sum" dataDxfId="31" totalsRowDxfId="7"/>
    <tableColumn id="12" xr3:uid="{FC666323-2775-4F7C-A753-3E8AAE6BB97C}" name="Varietas yang diusulkan" dataDxfId="30" totalsRowDxfId="13"/>
    <tableColumn id="13" xr3:uid="{65B78BC1-8F72-47A1-9A7B-5864285A3326}" name="Jadwal Tanam" dataDxfId="29" totalsRowDxfId="12"/>
    <tableColumn id="18" xr3:uid="{3027D866-8201-4A9B-804B-CAD379707649}" name="Titik Koordinat Lintang" dataDxfId="28" totalsRowDxfId="11"/>
    <tableColumn id="19" xr3:uid="{79926204-496D-4FE5-81FF-76E63213FC62}" name="Titik Koordinat Bujur" dataDxfId="27" totalsRowDxfId="10"/>
    <tableColumn id="20" xr3:uid="{BA2B215E-F5BD-4730-8431-F77118087245}" name="Terdaftar di SIMLUHTAN (Ya/Tidak)" dataDxfId="26" totalsRowDxfId="9"/>
    <tableColumn id="23" xr3:uid="{3DB23C95-6AA0-4A6B-82FB-E0A6930EAD9B}" name="Status (Salur/Belum Salur)" dataDxfId="25" totalsRowDxfId="2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41E3A7-A68F-410B-A691-46FB315CB286}" name="Tabel4" displayName="Tabel4" ref="A1:G62" totalsRowShown="0" headerRowDxfId="0" headerRowCellStyle="Koma">
  <autoFilter ref="A1:G62" xr:uid="{2641E3A7-A68F-410B-A691-46FB315CB286}"/>
  <tableColumns count="7">
    <tableColumn id="1" xr3:uid="{6B74ECDA-1049-4FBF-98ED-B11E2C2864BC}" name="No"/>
    <tableColumn id="2" xr3:uid="{B3E6635A-63EA-4932-8B54-263A583EFB42}" name="Sumber Dana" dataDxfId="2"/>
    <tableColumn id="3" xr3:uid="{DEDE9D1B-7310-4008-B0D3-C5DF7D8110D8}" name="Kecamatan"/>
    <tableColumn id="4" xr3:uid="{B548203E-8C8E-4811-8A7C-6B6CA95200A9}" name="Poktan (Kelompok)"/>
    <tableColumn id="5" xr3:uid="{A05D8906-BA1A-4F65-B3DE-20E709A6EF4F}" name="Anggota (Orang)"/>
    <tableColumn id="6" xr3:uid="{73CD4429-DD88-4F5B-9BA3-BDABE2DCA400}" name="Luas (Ha)" dataDxfId="1" dataCellStyle="Koma"/>
    <tableColumn id="7" xr3:uid="{0A2D542A-4DD7-4653-8743-A21280B9616D}" name="Benih (Kg)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79B252-D92C-4813-8784-809A868494D5}" name="Tabel3" displayName="Tabel3" ref="A1:G6" totalsRowShown="0" headerRowDxfId="3">
  <autoFilter ref="A1:G6" xr:uid="{E479B252-D92C-4813-8784-809A868494D5}"/>
  <tableColumns count="7">
    <tableColumn id="1" xr3:uid="{CE773A64-96B0-432F-B872-8291B6C38EA3}" name="No"/>
    <tableColumn id="2" xr3:uid="{4B9AC9B4-2BEB-428B-B6A1-FF0A06791294}" name="Sumber Dana"/>
    <tableColumn id="3" xr3:uid="{E366543E-E625-4894-BB5B-99740A77A6DC}" name="Poktan (Kelompok)"/>
    <tableColumn id="4" xr3:uid="{532B976D-87D4-491A-A49A-96CF39839A5B}" name="Anggota (Orang)" dataDxfId="6" dataCellStyle="Koma"/>
    <tableColumn id="5" xr3:uid="{886D82C9-3502-4BB8-968F-B7B3D0857B0C}" name="Luas (Ha)" dataDxfId="5" dataCellStyle="Koma"/>
    <tableColumn id="6" xr3:uid="{47A6CED8-54DC-47FA-9194-B21800E17106}" name="Benih (Kg)" dataDxfId="4" dataCellStyle="Koma"/>
    <tableColumn id="7" xr3:uid="{DAD65348-3542-4EF4-8161-B82D8A73228D}" name="Tautan Berkas (Google Drive)" dataCellStyle="Hipertau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s-OqaY0tsHwxdUSlofxQ8Uk-tNaYYwlJ?usp=drive_link" TargetMode="External"/><Relationship Id="rId2" Type="http://schemas.openxmlformats.org/officeDocument/2006/relationships/hyperlink" Target="https://drive.google.com/drive/folders/1rX9LoeGsLej7Tcv5J1pYOot0KZ57YT1x?usp=drive_link" TargetMode="External"/><Relationship Id="rId1" Type="http://schemas.openxmlformats.org/officeDocument/2006/relationships/hyperlink" Target="https://drive.google.com/drive/folders/1ZUMhN6UtkgnQSuCunWYF8egT5skmjzTP?usp=drive_link" TargetMode="External"/><Relationship Id="rId5" Type="http://schemas.openxmlformats.org/officeDocument/2006/relationships/table" Target="../tables/table3.xml"/><Relationship Id="rId4" Type="http://schemas.openxmlformats.org/officeDocument/2006/relationships/hyperlink" Target="https://drive.google.com/drive/folders/1zkWlxYJZ8rgcbQeMsYmVeSfODSvVGuQ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8"/>
  <sheetViews>
    <sheetView tabSelected="1" zoomScale="78" workbookViewId="0">
      <pane ySplit="1" topLeftCell="A2" activePane="bottomLeft" state="frozen"/>
      <selection pane="bottomLeft"/>
    </sheetView>
  </sheetViews>
  <sheetFormatPr defaultRowHeight="13" x14ac:dyDescent="0.3"/>
  <cols>
    <col min="1" max="1" width="7" style="6" customWidth="1"/>
    <col min="2" max="2" width="21" style="6" customWidth="1"/>
    <col min="3" max="3" width="15.54296875" style="6" customWidth="1"/>
    <col min="4" max="4" width="23" style="6" customWidth="1"/>
    <col min="5" max="5" width="24" style="6" customWidth="1"/>
    <col min="6" max="6" width="30" style="6" customWidth="1"/>
    <col min="7" max="7" width="32.6328125" style="6" customWidth="1"/>
    <col min="8" max="8" width="20" style="5" customWidth="1"/>
    <col min="9" max="9" width="18" style="5" customWidth="1"/>
    <col min="10" max="12" width="12.54296875" style="6" customWidth="1"/>
    <col min="13" max="13" width="12.90625" style="5" customWidth="1"/>
    <col min="14" max="14" width="11.7265625" style="5" customWidth="1"/>
    <col min="15" max="15" width="18" style="6" customWidth="1"/>
    <col min="16" max="16" width="20" style="6" customWidth="1"/>
    <col min="17" max="17" width="14.54296875" style="5" customWidth="1"/>
    <col min="18" max="18" width="11.6328125" style="6" customWidth="1"/>
    <col min="19" max="16384" width="8.7265625" style="6"/>
  </cols>
  <sheetData>
    <row r="1" spans="1:18" s="20" customFormat="1" ht="60" customHeight="1" x14ac:dyDescent="0.35">
      <c r="A1" s="4" t="s">
        <v>0</v>
      </c>
      <c r="B1" s="4" t="s">
        <v>1</v>
      </c>
      <c r="C1" s="4" t="s">
        <v>1126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1118</v>
      </c>
      <c r="P1" s="4" t="s">
        <v>1119</v>
      </c>
      <c r="Q1" s="4" t="s">
        <v>13</v>
      </c>
      <c r="R1" s="4" t="s">
        <v>1116</v>
      </c>
    </row>
    <row r="2" spans="1:18" s="21" customFormat="1" x14ac:dyDescent="0.35">
      <c r="A2" s="21">
        <f>IF(D2="","",ROW()-1)</f>
        <v>1</v>
      </c>
      <c r="B2" s="21" t="s">
        <v>18</v>
      </c>
      <c r="C2" s="21" t="s">
        <v>1127</v>
      </c>
      <c r="D2" s="7" t="s">
        <v>30</v>
      </c>
      <c r="E2" s="8" t="s">
        <v>1120</v>
      </c>
      <c r="F2" s="9" t="s">
        <v>596</v>
      </c>
      <c r="G2" s="9" t="s">
        <v>1121</v>
      </c>
      <c r="H2" s="10" t="s">
        <v>1122</v>
      </c>
      <c r="I2" s="10" t="s">
        <v>1123</v>
      </c>
      <c r="J2" s="21">
        <v>20</v>
      </c>
      <c r="K2" s="11">
        <f>L2/15</f>
        <v>3.3333333333333335</v>
      </c>
      <c r="L2" s="27">
        <v>50</v>
      </c>
      <c r="M2" s="13" t="s">
        <v>1124</v>
      </c>
      <c r="N2" s="14" t="s">
        <v>1125</v>
      </c>
      <c r="O2" s="29"/>
      <c r="P2" s="29"/>
      <c r="Q2" s="20" t="s">
        <v>53</v>
      </c>
      <c r="R2" s="21" t="s">
        <v>1128</v>
      </c>
    </row>
    <row r="3" spans="1:18" s="21" customFormat="1" x14ac:dyDescent="0.35">
      <c r="A3" s="21">
        <f>IF(D3="","",ROW()-1)</f>
        <v>2</v>
      </c>
      <c r="B3" s="21" t="s">
        <v>18</v>
      </c>
      <c r="C3" s="21" t="s">
        <v>1127</v>
      </c>
      <c r="D3" s="7" t="s">
        <v>32</v>
      </c>
      <c r="E3" s="7" t="s">
        <v>677</v>
      </c>
      <c r="F3" s="8" t="s">
        <v>596</v>
      </c>
      <c r="G3" s="7" t="s">
        <v>1129</v>
      </c>
      <c r="H3" s="15" t="s">
        <v>1130</v>
      </c>
      <c r="I3" s="15" t="s">
        <v>1131</v>
      </c>
      <c r="J3" s="21">
        <v>23</v>
      </c>
      <c r="K3" s="11">
        <v>4.5999999999999996</v>
      </c>
      <c r="L3" s="27">
        <v>70</v>
      </c>
      <c r="M3" s="13" t="s">
        <v>1124</v>
      </c>
      <c r="N3" s="14" t="s">
        <v>1125</v>
      </c>
      <c r="O3" s="29"/>
      <c r="P3" s="29"/>
      <c r="Q3" s="20" t="s">
        <v>53</v>
      </c>
      <c r="R3" s="21" t="s">
        <v>1128</v>
      </c>
    </row>
    <row r="4" spans="1:18" s="21" customFormat="1" x14ac:dyDescent="0.35">
      <c r="A4" s="21">
        <f>IF(D4="","",ROW()-1)</f>
        <v>3</v>
      </c>
      <c r="B4" s="21" t="s">
        <v>18</v>
      </c>
      <c r="C4" s="21" t="s">
        <v>1127</v>
      </c>
      <c r="D4" s="9" t="s">
        <v>32</v>
      </c>
      <c r="E4" s="9" t="s">
        <v>506</v>
      </c>
      <c r="F4" s="9" t="s">
        <v>386</v>
      </c>
      <c r="G4" s="9" t="s">
        <v>1132</v>
      </c>
      <c r="H4" s="16" t="s">
        <v>508</v>
      </c>
      <c r="I4" s="16" t="s">
        <v>1133</v>
      </c>
      <c r="J4" s="21">
        <v>15</v>
      </c>
      <c r="K4" s="11">
        <v>7</v>
      </c>
      <c r="L4" s="27">
        <f t="shared" ref="L4:L6" si="0">K4*15</f>
        <v>105</v>
      </c>
      <c r="M4" s="12" t="s">
        <v>1124</v>
      </c>
      <c r="N4" s="14" t="s">
        <v>1125</v>
      </c>
      <c r="O4" s="29"/>
      <c r="P4" s="29"/>
      <c r="Q4" s="20" t="s">
        <v>53</v>
      </c>
      <c r="R4" s="21" t="s">
        <v>1128</v>
      </c>
    </row>
    <row r="5" spans="1:18" s="21" customFormat="1" x14ac:dyDescent="0.35">
      <c r="A5" s="21">
        <f>IF(D5="","",ROW()-1)</f>
        <v>4</v>
      </c>
      <c r="B5" s="21" t="s">
        <v>18</v>
      </c>
      <c r="C5" s="21" t="s">
        <v>1127</v>
      </c>
      <c r="D5" s="9" t="s">
        <v>25</v>
      </c>
      <c r="E5" s="17" t="s">
        <v>762</v>
      </c>
      <c r="F5" s="9" t="s">
        <v>1134</v>
      </c>
      <c r="G5" s="9" t="s">
        <v>1135</v>
      </c>
      <c r="H5" s="16" t="s">
        <v>1136</v>
      </c>
      <c r="I5" s="16" t="s">
        <v>766</v>
      </c>
      <c r="J5" s="21">
        <v>20</v>
      </c>
      <c r="K5" s="11">
        <v>10</v>
      </c>
      <c r="L5" s="27">
        <f t="shared" si="0"/>
        <v>150</v>
      </c>
      <c r="M5" s="12" t="s">
        <v>1124</v>
      </c>
      <c r="N5" s="14" t="s">
        <v>1125</v>
      </c>
      <c r="O5" s="29"/>
      <c r="P5" s="29"/>
      <c r="Q5" s="20" t="s">
        <v>53</v>
      </c>
      <c r="R5" s="21" t="s">
        <v>1128</v>
      </c>
    </row>
    <row r="6" spans="1:18" s="21" customFormat="1" x14ac:dyDescent="0.35">
      <c r="A6" s="21">
        <f>IF(D6="","",ROW()-1)</f>
        <v>5</v>
      </c>
      <c r="B6" s="21" t="s">
        <v>18</v>
      </c>
      <c r="C6" s="21" t="s">
        <v>1127</v>
      </c>
      <c r="D6" s="9" t="s">
        <v>25</v>
      </c>
      <c r="E6" s="9" t="s">
        <v>1137</v>
      </c>
      <c r="F6" s="9" t="s">
        <v>1138</v>
      </c>
      <c r="G6" s="9" t="s">
        <v>1139</v>
      </c>
      <c r="H6" s="16" t="s">
        <v>783</v>
      </c>
      <c r="I6" s="16" t="s">
        <v>778</v>
      </c>
      <c r="J6" s="21">
        <v>25</v>
      </c>
      <c r="K6" s="11">
        <v>10</v>
      </c>
      <c r="L6" s="27">
        <f t="shared" si="0"/>
        <v>150</v>
      </c>
      <c r="M6" s="12" t="s">
        <v>1124</v>
      </c>
      <c r="N6" s="14" t="s">
        <v>1125</v>
      </c>
      <c r="O6" s="29"/>
      <c r="P6" s="29"/>
      <c r="Q6" s="20" t="s">
        <v>53</v>
      </c>
      <c r="R6" s="21" t="s">
        <v>1128</v>
      </c>
    </row>
    <row r="7" spans="1:18" s="21" customFormat="1" x14ac:dyDescent="0.35">
      <c r="A7" s="21">
        <f>IF(D7="","",ROW()-1)</f>
        <v>6</v>
      </c>
      <c r="B7" s="21" t="s">
        <v>18</v>
      </c>
      <c r="C7" s="21" t="s">
        <v>1127</v>
      </c>
      <c r="D7" s="7" t="s">
        <v>32</v>
      </c>
      <c r="E7" s="7" t="s">
        <v>666</v>
      </c>
      <c r="F7" s="7" t="s">
        <v>1140</v>
      </c>
      <c r="G7" s="7" t="s">
        <v>1141</v>
      </c>
      <c r="H7" s="16" t="s">
        <v>668</v>
      </c>
      <c r="I7" s="20"/>
      <c r="J7" s="21">
        <v>20</v>
      </c>
      <c r="K7" s="11">
        <f>L7/15</f>
        <v>3.3333333333333335</v>
      </c>
      <c r="L7" s="27">
        <v>50</v>
      </c>
      <c r="M7" s="12" t="s">
        <v>1124</v>
      </c>
      <c r="N7" s="14" t="s">
        <v>1125</v>
      </c>
      <c r="O7" s="29"/>
      <c r="P7" s="29"/>
      <c r="Q7" s="20" t="s">
        <v>53</v>
      </c>
      <c r="R7" s="21" t="s">
        <v>1128</v>
      </c>
    </row>
    <row r="8" spans="1:18" s="21" customFormat="1" x14ac:dyDescent="0.35">
      <c r="A8" s="21">
        <f>IF(D8="","",ROW()-1)</f>
        <v>7</v>
      </c>
      <c r="B8" s="21" t="s">
        <v>18</v>
      </c>
      <c r="C8" s="21" t="s">
        <v>1196</v>
      </c>
      <c r="D8" s="7" t="s">
        <v>26</v>
      </c>
      <c r="E8" s="8" t="s">
        <v>391</v>
      </c>
      <c r="F8" s="7" t="s">
        <v>188</v>
      </c>
      <c r="G8" s="8" t="s">
        <v>1142</v>
      </c>
      <c r="H8" s="16" t="s">
        <v>393</v>
      </c>
      <c r="I8" s="16" t="s">
        <v>1143</v>
      </c>
      <c r="J8" s="21">
        <v>20</v>
      </c>
      <c r="K8" s="33">
        <v>5</v>
      </c>
      <c r="L8" s="34">
        <v>75</v>
      </c>
      <c r="M8" s="20" t="s">
        <v>1124</v>
      </c>
      <c r="N8" s="20" t="s">
        <v>1198</v>
      </c>
      <c r="O8" s="29"/>
      <c r="P8" s="29"/>
      <c r="Q8" s="20" t="s">
        <v>53</v>
      </c>
      <c r="R8" s="21" t="s">
        <v>1128</v>
      </c>
    </row>
    <row r="9" spans="1:18" s="21" customFormat="1" x14ac:dyDescent="0.35">
      <c r="A9" s="21">
        <f>IF(D9="","",ROW()-1)</f>
        <v>8</v>
      </c>
      <c r="B9" s="21" t="s">
        <v>18</v>
      </c>
      <c r="C9" s="21" t="s">
        <v>1196</v>
      </c>
      <c r="D9" s="7" t="s">
        <v>26</v>
      </c>
      <c r="E9" s="8" t="s">
        <v>1144</v>
      </c>
      <c r="F9" s="8" t="s">
        <v>1145</v>
      </c>
      <c r="G9" s="8" t="s">
        <v>1146</v>
      </c>
      <c r="H9" s="16" t="s">
        <v>329</v>
      </c>
      <c r="I9" s="16" t="s">
        <v>1147</v>
      </c>
      <c r="J9" s="21">
        <v>42</v>
      </c>
      <c r="K9" s="33">
        <v>4</v>
      </c>
      <c r="L9" s="34">
        <v>60</v>
      </c>
      <c r="M9" s="20" t="s">
        <v>1124</v>
      </c>
      <c r="N9" s="20" t="s">
        <v>1198</v>
      </c>
      <c r="O9" s="29"/>
      <c r="P9" s="29"/>
      <c r="Q9" s="20" t="s">
        <v>53</v>
      </c>
      <c r="R9" s="21" t="s">
        <v>1128</v>
      </c>
    </row>
    <row r="10" spans="1:18" s="21" customFormat="1" x14ac:dyDescent="0.35">
      <c r="A10" s="21">
        <f>IF(D10="","",ROW()-1)</f>
        <v>9</v>
      </c>
      <c r="B10" s="21" t="s">
        <v>18</v>
      </c>
      <c r="C10" s="21" t="s">
        <v>1196</v>
      </c>
      <c r="D10" s="7" t="s">
        <v>31</v>
      </c>
      <c r="E10" s="8" t="s">
        <v>1148</v>
      </c>
      <c r="F10" s="8" t="s">
        <v>86</v>
      </c>
      <c r="G10" s="8" t="s">
        <v>1149</v>
      </c>
      <c r="H10" s="16" t="s">
        <v>1150</v>
      </c>
      <c r="I10" s="16" t="s">
        <v>1151</v>
      </c>
      <c r="J10" s="21">
        <v>24</v>
      </c>
      <c r="K10" s="33">
        <v>3</v>
      </c>
      <c r="L10" s="34">
        <v>45</v>
      </c>
      <c r="M10" s="20" t="s">
        <v>1124</v>
      </c>
      <c r="N10" s="20" t="s">
        <v>1198</v>
      </c>
      <c r="O10" s="29"/>
      <c r="P10" s="29"/>
      <c r="Q10" s="20" t="s">
        <v>53</v>
      </c>
      <c r="R10" s="21" t="s">
        <v>1128</v>
      </c>
    </row>
    <row r="11" spans="1:18" s="21" customFormat="1" x14ac:dyDescent="0.35">
      <c r="A11" s="21">
        <f>IF(D11="","",ROW()-1)</f>
        <v>10</v>
      </c>
      <c r="B11" s="21" t="s">
        <v>18</v>
      </c>
      <c r="C11" s="21" t="s">
        <v>1196</v>
      </c>
      <c r="D11" s="7" t="s">
        <v>31</v>
      </c>
      <c r="E11" s="8" t="s">
        <v>1152</v>
      </c>
      <c r="F11" s="8" t="s">
        <v>115</v>
      </c>
      <c r="G11" s="8" t="s">
        <v>1153</v>
      </c>
      <c r="H11" s="16" t="s">
        <v>1154</v>
      </c>
      <c r="I11" s="16" t="s">
        <v>1155</v>
      </c>
      <c r="J11" s="21">
        <v>30</v>
      </c>
      <c r="K11" s="33">
        <v>4</v>
      </c>
      <c r="L11" s="34">
        <v>60</v>
      </c>
      <c r="M11" s="20" t="s">
        <v>1124</v>
      </c>
      <c r="N11" s="20" t="s">
        <v>1198</v>
      </c>
      <c r="O11" s="29"/>
      <c r="P11" s="29"/>
      <c r="Q11" s="20" t="s">
        <v>53</v>
      </c>
      <c r="R11" s="21" t="s">
        <v>1128</v>
      </c>
    </row>
    <row r="12" spans="1:18" s="21" customFormat="1" x14ac:dyDescent="0.35">
      <c r="A12" s="21">
        <f>IF(D12="","",ROW()-1)</f>
        <v>11</v>
      </c>
      <c r="B12" s="21" t="s">
        <v>18</v>
      </c>
      <c r="C12" s="21" t="s">
        <v>1196</v>
      </c>
      <c r="D12" s="7" t="s">
        <v>31</v>
      </c>
      <c r="E12" s="8" t="s">
        <v>1156</v>
      </c>
      <c r="F12" s="7" t="s">
        <v>438</v>
      </c>
      <c r="G12" s="7" t="s">
        <v>1157</v>
      </c>
      <c r="H12" s="15" t="s">
        <v>1158</v>
      </c>
      <c r="I12" s="15" t="s">
        <v>1159</v>
      </c>
      <c r="J12" s="21">
        <v>23</v>
      </c>
      <c r="K12" s="33">
        <v>4</v>
      </c>
      <c r="L12" s="34">
        <v>60</v>
      </c>
      <c r="M12" s="20" t="s">
        <v>1124</v>
      </c>
      <c r="N12" s="20" t="s">
        <v>1198</v>
      </c>
      <c r="O12" s="29"/>
      <c r="P12" s="29"/>
      <c r="Q12" s="20" t="s">
        <v>53</v>
      </c>
      <c r="R12" s="21" t="s">
        <v>1128</v>
      </c>
    </row>
    <row r="13" spans="1:18" s="21" customFormat="1" x14ac:dyDescent="0.35">
      <c r="A13" s="21">
        <f>IF(D13="","",ROW()-1)</f>
        <v>12</v>
      </c>
      <c r="B13" s="21" t="s">
        <v>18</v>
      </c>
      <c r="C13" s="21" t="s">
        <v>1196</v>
      </c>
      <c r="D13" s="7" t="s">
        <v>33</v>
      </c>
      <c r="E13" s="8" t="s">
        <v>1160</v>
      </c>
      <c r="F13" s="7" t="s">
        <v>964</v>
      </c>
      <c r="G13" s="7" t="s">
        <v>965</v>
      </c>
      <c r="H13" s="15" t="s">
        <v>1161</v>
      </c>
      <c r="I13" s="15" t="s">
        <v>1162</v>
      </c>
      <c r="J13" s="21">
        <v>20</v>
      </c>
      <c r="K13" s="33">
        <v>5</v>
      </c>
      <c r="L13" s="34">
        <v>75</v>
      </c>
      <c r="M13" s="20" t="s">
        <v>1124</v>
      </c>
      <c r="N13" s="20" t="s">
        <v>1198</v>
      </c>
      <c r="O13" s="29"/>
      <c r="P13" s="29"/>
      <c r="Q13" s="20" t="s">
        <v>53</v>
      </c>
      <c r="R13" s="21" t="s">
        <v>1128</v>
      </c>
    </row>
    <row r="14" spans="1:18" s="21" customFormat="1" x14ac:dyDescent="0.35">
      <c r="A14" s="21">
        <f>IF(D14="","",ROW()-1)</f>
        <v>13</v>
      </c>
      <c r="B14" s="21" t="s">
        <v>18</v>
      </c>
      <c r="C14" s="21" t="s">
        <v>1196</v>
      </c>
      <c r="D14" s="7" t="s">
        <v>33</v>
      </c>
      <c r="E14" s="8" t="s">
        <v>1163</v>
      </c>
      <c r="F14" s="35" t="s">
        <v>1164</v>
      </c>
      <c r="G14" s="7" t="s">
        <v>1165</v>
      </c>
      <c r="H14" s="15" t="s">
        <v>1166</v>
      </c>
      <c r="I14" s="15" t="s">
        <v>1167</v>
      </c>
      <c r="J14" s="21">
        <v>28</v>
      </c>
      <c r="K14" s="33">
        <v>5</v>
      </c>
      <c r="L14" s="34">
        <v>75</v>
      </c>
      <c r="M14" s="20" t="s">
        <v>1124</v>
      </c>
      <c r="N14" s="20" t="s">
        <v>1198</v>
      </c>
      <c r="O14" s="29"/>
      <c r="P14" s="29"/>
      <c r="Q14" s="20" t="s">
        <v>53</v>
      </c>
      <c r="R14" s="21" t="s">
        <v>1128</v>
      </c>
    </row>
    <row r="15" spans="1:18" s="21" customFormat="1" x14ac:dyDescent="0.35">
      <c r="A15" s="21">
        <f>IF(D15="","",ROW()-1)</f>
        <v>14</v>
      </c>
      <c r="B15" s="21" t="s">
        <v>18</v>
      </c>
      <c r="C15" s="21" t="s">
        <v>1196</v>
      </c>
      <c r="D15" s="7" t="s">
        <v>20</v>
      </c>
      <c r="E15" s="8" t="s">
        <v>1168</v>
      </c>
      <c r="F15" s="35" t="s">
        <v>465</v>
      </c>
      <c r="G15" s="7" t="s">
        <v>466</v>
      </c>
      <c r="H15" s="15" t="s">
        <v>467</v>
      </c>
      <c r="I15" s="15" t="s">
        <v>1169</v>
      </c>
      <c r="J15" s="21">
        <v>30</v>
      </c>
      <c r="K15" s="33">
        <v>4</v>
      </c>
      <c r="L15" s="34">
        <v>60</v>
      </c>
      <c r="M15" s="20" t="s">
        <v>1124</v>
      </c>
      <c r="N15" s="20" t="s">
        <v>1198</v>
      </c>
      <c r="O15" s="29"/>
      <c r="P15" s="29"/>
      <c r="Q15" s="20" t="s">
        <v>53</v>
      </c>
      <c r="R15" s="21" t="s">
        <v>1128</v>
      </c>
    </row>
    <row r="16" spans="1:18" s="21" customFormat="1" x14ac:dyDescent="0.35">
      <c r="A16" s="21">
        <f>IF(D16="","",ROW()-1)</f>
        <v>15</v>
      </c>
      <c r="B16" s="21" t="s">
        <v>18</v>
      </c>
      <c r="C16" s="21" t="s">
        <v>1196</v>
      </c>
      <c r="D16" s="7" t="s">
        <v>28</v>
      </c>
      <c r="E16" s="36" t="s">
        <v>457</v>
      </c>
      <c r="F16" s="8" t="s">
        <v>1170</v>
      </c>
      <c r="G16" s="7" t="s">
        <v>1171</v>
      </c>
      <c r="H16" s="15" t="s">
        <v>460</v>
      </c>
      <c r="I16" s="15" t="s">
        <v>1172</v>
      </c>
      <c r="J16" s="21">
        <v>25</v>
      </c>
      <c r="K16" s="33">
        <v>4</v>
      </c>
      <c r="L16" s="34">
        <v>60</v>
      </c>
      <c r="M16" s="20" t="s">
        <v>1124</v>
      </c>
      <c r="N16" s="20" t="s">
        <v>1198</v>
      </c>
      <c r="O16" s="29"/>
      <c r="P16" s="29"/>
      <c r="Q16" s="20" t="s">
        <v>53</v>
      </c>
      <c r="R16" s="21" t="s">
        <v>1128</v>
      </c>
    </row>
    <row r="17" spans="1:18" s="21" customFormat="1" x14ac:dyDescent="0.35">
      <c r="A17" s="21">
        <f>IF(D17="","",ROW()-1)</f>
        <v>16</v>
      </c>
      <c r="B17" s="21" t="s">
        <v>18</v>
      </c>
      <c r="C17" s="21" t="s">
        <v>1196</v>
      </c>
      <c r="D17" s="7" t="s">
        <v>30</v>
      </c>
      <c r="E17" s="35" t="s">
        <v>1173</v>
      </c>
      <c r="F17" s="8" t="s">
        <v>728</v>
      </c>
      <c r="G17" s="8" t="s">
        <v>1174</v>
      </c>
      <c r="H17" s="15" t="s">
        <v>1175</v>
      </c>
      <c r="I17" s="15" t="s">
        <v>1176</v>
      </c>
      <c r="J17" s="21">
        <v>34</v>
      </c>
      <c r="K17" s="33">
        <v>12</v>
      </c>
      <c r="L17" s="34">
        <v>180</v>
      </c>
      <c r="M17" s="20" t="s">
        <v>1124</v>
      </c>
      <c r="N17" s="20" t="s">
        <v>1198</v>
      </c>
      <c r="O17" s="29"/>
      <c r="P17" s="29"/>
      <c r="Q17" s="20" t="s">
        <v>53</v>
      </c>
      <c r="R17" s="21" t="s">
        <v>1128</v>
      </c>
    </row>
    <row r="18" spans="1:18" s="21" customFormat="1" x14ac:dyDescent="0.35">
      <c r="A18" s="21">
        <f>IF(D18="","",ROW()-1)</f>
        <v>17</v>
      </c>
      <c r="B18" s="21" t="s">
        <v>18</v>
      </c>
      <c r="C18" s="21" t="s">
        <v>1196</v>
      </c>
      <c r="D18" s="7" t="s">
        <v>25</v>
      </c>
      <c r="E18" s="35" t="s">
        <v>1177</v>
      </c>
      <c r="F18" s="8" t="s">
        <v>1178</v>
      </c>
      <c r="G18" s="7" t="s">
        <v>1179</v>
      </c>
      <c r="H18" s="15" t="s">
        <v>720</v>
      </c>
      <c r="I18" s="15" t="s">
        <v>817</v>
      </c>
      <c r="J18" s="21">
        <v>15</v>
      </c>
      <c r="K18" s="33">
        <v>3</v>
      </c>
      <c r="L18" s="34">
        <v>45</v>
      </c>
      <c r="M18" s="20" t="s">
        <v>1124</v>
      </c>
      <c r="N18" s="20" t="s">
        <v>1198</v>
      </c>
      <c r="O18" s="29"/>
      <c r="P18" s="29"/>
      <c r="Q18" s="20" t="s">
        <v>53</v>
      </c>
      <c r="R18" s="21" t="s">
        <v>1128</v>
      </c>
    </row>
    <row r="19" spans="1:18" s="21" customFormat="1" x14ac:dyDescent="0.35">
      <c r="A19" s="21">
        <f>IF(D19="","",ROW()-1)</f>
        <v>18</v>
      </c>
      <c r="B19" s="21" t="s">
        <v>18</v>
      </c>
      <c r="C19" s="21" t="s">
        <v>1196</v>
      </c>
      <c r="D19" s="7" t="s">
        <v>25</v>
      </c>
      <c r="E19" s="37" t="s">
        <v>774</v>
      </c>
      <c r="F19" s="37" t="s">
        <v>1180</v>
      </c>
      <c r="G19" s="37" t="s">
        <v>1181</v>
      </c>
      <c r="H19" s="38" t="s">
        <v>788</v>
      </c>
      <c r="I19" s="38" t="s">
        <v>778</v>
      </c>
      <c r="J19" s="21">
        <v>15</v>
      </c>
      <c r="K19" s="33">
        <v>4</v>
      </c>
      <c r="L19" s="34">
        <v>60</v>
      </c>
      <c r="M19" s="20" t="s">
        <v>1124</v>
      </c>
      <c r="N19" s="20" t="s">
        <v>1198</v>
      </c>
      <c r="O19" s="29"/>
      <c r="P19" s="29"/>
      <c r="Q19" s="20" t="s">
        <v>53</v>
      </c>
      <c r="R19" s="21" t="s">
        <v>1128</v>
      </c>
    </row>
    <row r="20" spans="1:18" s="21" customFormat="1" x14ac:dyDescent="0.35">
      <c r="A20" s="21">
        <f>IF(D20="","",ROW()-1)</f>
        <v>19</v>
      </c>
      <c r="B20" s="21" t="s">
        <v>18</v>
      </c>
      <c r="C20" s="21" t="s">
        <v>1196</v>
      </c>
      <c r="D20" s="7" t="s">
        <v>25</v>
      </c>
      <c r="E20" s="37" t="s">
        <v>684</v>
      </c>
      <c r="F20" s="37" t="s">
        <v>1182</v>
      </c>
      <c r="G20" s="37" t="s">
        <v>1183</v>
      </c>
      <c r="H20" s="38" t="s">
        <v>698</v>
      </c>
      <c r="I20" s="38" t="s">
        <v>688</v>
      </c>
      <c r="J20" s="21">
        <v>18</v>
      </c>
      <c r="K20" s="33">
        <v>3</v>
      </c>
      <c r="L20" s="34">
        <v>45</v>
      </c>
      <c r="M20" s="20" t="s">
        <v>1124</v>
      </c>
      <c r="N20" s="20" t="s">
        <v>1198</v>
      </c>
      <c r="O20" s="29"/>
      <c r="P20" s="29"/>
      <c r="Q20" s="20" t="s">
        <v>53</v>
      </c>
      <c r="R20" s="21" t="s">
        <v>1128</v>
      </c>
    </row>
    <row r="21" spans="1:18" s="21" customFormat="1" x14ac:dyDescent="0.35">
      <c r="A21" s="21">
        <f>IF(D21="","",ROW()-1)</f>
        <v>20</v>
      </c>
      <c r="B21" s="21" t="s">
        <v>18</v>
      </c>
      <c r="C21" s="21" t="s">
        <v>1196</v>
      </c>
      <c r="D21" s="8" t="s">
        <v>32</v>
      </c>
      <c r="E21" s="37" t="s">
        <v>518</v>
      </c>
      <c r="F21" s="37" t="s">
        <v>1184</v>
      </c>
      <c r="G21" s="37" t="s">
        <v>1185</v>
      </c>
      <c r="H21" s="38" t="s">
        <v>1186</v>
      </c>
      <c r="I21" s="38" t="s">
        <v>1187</v>
      </c>
      <c r="J21" s="21">
        <v>25</v>
      </c>
      <c r="K21" s="33">
        <v>5</v>
      </c>
      <c r="L21" s="34">
        <v>75</v>
      </c>
      <c r="M21" s="20" t="s">
        <v>1124</v>
      </c>
      <c r="N21" s="20" t="s">
        <v>1198</v>
      </c>
      <c r="O21" s="29"/>
      <c r="P21" s="29"/>
      <c r="Q21" s="20" t="s">
        <v>53</v>
      </c>
      <c r="R21" s="21" t="s">
        <v>1128</v>
      </c>
    </row>
    <row r="22" spans="1:18" s="21" customFormat="1" x14ac:dyDescent="0.35">
      <c r="A22" s="21">
        <f>IF(D22="","",ROW()-1)</f>
        <v>21</v>
      </c>
      <c r="B22" s="21" t="s">
        <v>18</v>
      </c>
      <c r="C22" s="21" t="s">
        <v>1196</v>
      </c>
      <c r="D22" s="8" t="s">
        <v>32</v>
      </c>
      <c r="E22" s="37" t="s">
        <v>530</v>
      </c>
      <c r="F22" s="37" t="s">
        <v>208</v>
      </c>
      <c r="G22" s="37" t="s">
        <v>1188</v>
      </c>
      <c r="H22" s="38" t="s">
        <v>1189</v>
      </c>
      <c r="I22" s="38" t="s">
        <v>1190</v>
      </c>
      <c r="J22" s="21">
        <v>17</v>
      </c>
      <c r="K22" s="33">
        <v>5</v>
      </c>
      <c r="L22" s="34">
        <v>75</v>
      </c>
      <c r="M22" s="20" t="s">
        <v>1124</v>
      </c>
      <c r="N22" s="20" t="s">
        <v>1198</v>
      </c>
      <c r="O22" s="29"/>
      <c r="P22" s="29"/>
      <c r="Q22" s="20" t="s">
        <v>53</v>
      </c>
      <c r="R22" s="21" t="s">
        <v>1128</v>
      </c>
    </row>
    <row r="23" spans="1:18" s="21" customFormat="1" x14ac:dyDescent="0.35">
      <c r="A23" s="21">
        <f>IF(D23="","",ROW()-1)</f>
        <v>22</v>
      </c>
      <c r="B23" s="21" t="s">
        <v>18</v>
      </c>
      <c r="C23" s="21" t="s">
        <v>1196</v>
      </c>
      <c r="D23" s="9" t="s">
        <v>32</v>
      </c>
      <c r="E23" s="9" t="s">
        <v>1191</v>
      </c>
      <c r="F23" s="9" t="s">
        <v>1192</v>
      </c>
      <c r="G23" s="9" t="s">
        <v>1193</v>
      </c>
      <c r="H23" s="12" t="s">
        <v>1194</v>
      </c>
      <c r="I23" s="12" t="s">
        <v>1195</v>
      </c>
      <c r="J23" s="21">
        <v>26</v>
      </c>
      <c r="K23" s="33">
        <v>3</v>
      </c>
      <c r="L23" s="34">
        <v>45</v>
      </c>
      <c r="M23" s="20" t="s">
        <v>1124</v>
      </c>
      <c r="N23" s="20" t="s">
        <v>1198</v>
      </c>
      <c r="O23" s="29"/>
      <c r="P23" s="29"/>
      <c r="Q23" s="20" t="s">
        <v>53</v>
      </c>
      <c r="R23" s="21" t="s">
        <v>1128</v>
      </c>
    </row>
    <row r="24" spans="1:18" s="21" customFormat="1" x14ac:dyDescent="0.35">
      <c r="A24" s="21">
        <f>IF(D24="","",ROW()-1)</f>
        <v>23</v>
      </c>
      <c r="B24" s="21" t="s">
        <v>34</v>
      </c>
      <c r="C24" s="21" t="s">
        <v>1127</v>
      </c>
      <c r="D24" s="21" t="s">
        <v>32</v>
      </c>
      <c r="E24" s="21" t="s">
        <v>1199</v>
      </c>
      <c r="F24" s="21" t="s">
        <v>195</v>
      </c>
      <c r="G24" s="21" t="s">
        <v>1200</v>
      </c>
      <c r="H24" s="20" t="s">
        <v>1238</v>
      </c>
      <c r="I24" s="39" t="s">
        <v>1239</v>
      </c>
      <c r="J24" s="21">
        <v>18</v>
      </c>
      <c r="K24" s="21">
        <v>5</v>
      </c>
      <c r="L24" s="34">
        <v>75</v>
      </c>
      <c r="M24" s="20" t="s">
        <v>1228</v>
      </c>
      <c r="N24" s="20" t="s">
        <v>1229</v>
      </c>
      <c r="O24" s="29"/>
      <c r="P24" s="29"/>
      <c r="Q24" s="20" t="s">
        <v>53</v>
      </c>
      <c r="R24" s="21" t="s">
        <v>1128</v>
      </c>
    </row>
    <row r="25" spans="1:18" s="21" customFormat="1" x14ac:dyDescent="0.35">
      <c r="A25" s="21">
        <f>IF(D25="","",ROW()-1)</f>
        <v>24</v>
      </c>
      <c r="B25" s="21" t="s">
        <v>34</v>
      </c>
      <c r="C25" s="21" t="s">
        <v>1127</v>
      </c>
      <c r="D25" s="21" t="s">
        <v>32</v>
      </c>
      <c r="E25" s="21" t="s">
        <v>1199</v>
      </c>
      <c r="F25" s="21" t="s">
        <v>1201</v>
      </c>
      <c r="G25" s="21" t="s">
        <v>1202</v>
      </c>
      <c r="H25" s="20"/>
      <c r="I25" s="20"/>
      <c r="J25" s="21">
        <v>20</v>
      </c>
      <c r="K25" s="21">
        <v>5</v>
      </c>
      <c r="L25" s="34">
        <v>75</v>
      </c>
      <c r="M25" s="20" t="s">
        <v>1228</v>
      </c>
      <c r="N25" s="20" t="s">
        <v>1229</v>
      </c>
      <c r="O25" s="29"/>
      <c r="P25" s="29"/>
      <c r="Q25" s="20" t="s">
        <v>53</v>
      </c>
      <c r="R25" s="21" t="s">
        <v>1128</v>
      </c>
    </row>
    <row r="26" spans="1:18" s="21" customFormat="1" x14ac:dyDescent="0.35">
      <c r="A26" s="21">
        <f>IF(D26="","",ROW()-1)</f>
        <v>25</v>
      </c>
      <c r="B26" s="21" t="s">
        <v>34</v>
      </c>
      <c r="C26" s="21" t="s">
        <v>1127</v>
      </c>
      <c r="D26" s="21" t="s">
        <v>32</v>
      </c>
      <c r="E26" s="21" t="s">
        <v>1199</v>
      </c>
      <c r="F26" s="21" t="s">
        <v>1203</v>
      </c>
      <c r="G26" s="21" t="s">
        <v>1204</v>
      </c>
      <c r="H26" s="20"/>
      <c r="I26" s="20"/>
      <c r="J26" s="21">
        <v>22</v>
      </c>
      <c r="K26" s="21">
        <v>5</v>
      </c>
      <c r="L26" s="34">
        <v>75</v>
      </c>
      <c r="M26" s="20" t="s">
        <v>1228</v>
      </c>
      <c r="N26" s="20" t="s">
        <v>1229</v>
      </c>
      <c r="O26" s="29"/>
      <c r="P26" s="29"/>
      <c r="Q26" s="20" t="s">
        <v>53</v>
      </c>
      <c r="R26" s="21" t="s">
        <v>1128</v>
      </c>
    </row>
    <row r="27" spans="1:18" s="21" customFormat="1" x14ac:dyDescent="0.35">
      <c r="A27" s="21">
        <f>IF(D27="","",ROW()-1)</f>
        <v>26</v>
      </c>
      <c r="B27" s="21" t="s">
        <v>34</v>
      </c>
      <c r="C27" s="21" t="s">
        <v>1127</v>
      </c>
      <c r="D27" s="21" t="s">
        <v>32</v>
      </c>
      <c r="E27" s="21" t="s">
        <v>1199</v>
      </c>
      <c r="F27" s="21" t="s">
        <v>120</v>
      </c>
      <c r="G27" s="21" t="s">
        <v>1205</v>
      </c>
      <c r="H27" s="20"/>
      <c r="I27" s="20"/>
      <c r="J27" s="21">
        <v>20</v>
      </c>
      <c r="K27" s="21">
        <v>5</v>
      </c>
      <c r="L27" s="34">
        <v>75</v>
      </c>
      <c r="M27" s="20" t="s">
        <v>1228</v>
      </c>
      <c r="N27" s="20" t="s">
        <v>1229</v>
      </c>
      <c r="O27" s="29"/>
      <c r="P27" s="29"/>
      <c r="Q27" s="20" t="s">
        <v>53</v>
      </c>
      <c r="R27" s="21" t="s">
        <v>1128</v>
      </c>
    </row>
    <row r="28" spans="1:18" s="21" customFormat="1" x14ac:dyDescent="0.35">
      <c r="A28" s="21">
        <f>IF(D28="","",ROW()-1)</f>
        <v>27</v>
      </c>
      <c r="B28" s="21" t="s">
        <v>34</v>
      </c>
      <c r="C28" s="21" t="s">
        <v>1127</v>
      </c>
      <c r="D28" s="21" t="s">
        <v>32</v>
      </c>
      <c r="E28" s="21" t="s">
        <v>1199</v>
      </c>
      <c r="F28" s="21" t="s">
        <v>1206</v>
      </c>
      <c r="G28" s="21" t="s">
        <v>1207</v>
      </c>
      <c r="H28" s="20" t="s">
        <v>1240</v>
      </c>
      <c r="I28" s="20" t="s">
        <v>1241</v>
      </c>
      <c r="J28" s="21">
        <v>15</v>
      </c>
      <c r="K28" s="21">
        <v>5</v>
      </c>
      <c r="L28" s="34">
        <v>75</v>
      </c>
      <c r="M28" s="20" t="s">
        <v>1228</v>
      </c>
      <c r="N28" s="20" t="s">
        <v>1229</v>
      </c>
      <c r="O28" s="29"/>
      <c r="P28" s="29"/>
      <c r="Q28" s="20" t="s">
        <v>53</v>
      </c>
      <c r="R28" s="21" t="s">
        <v>1128</v>
      </c>
    </row>
    <row r="29" spans="1:18" s="21" customFormat="1" x14ac:dyDescent="0.35">
      <c r="A29" s="21">
        <f>IF(D29="","",ROW()-1)</f>
        <v>28</v>
      </c>
      <c r="B29" s="21" t="s">
        <v>34</v>
      </c>
      <c r="C29" s="21" t="s">
        <v>1127</v>
      </c>
      <c r="D29" s="21" t="s">
        <v>32</v>
      </c>
      <c r="E29" s="21" t="s">
        <v>1208</v>
      </c>
      <c r="F29" s="21" t="s">
        <v>1209</v>
      </c>
      <c r="G29" s="21" t="s">
        <v>1210</v>
      </c>
      <c r="H29" s="20" t="s">
        <v>1242</v>
      </c>
      <c r="I29" s="20" t="s">
        <v>1243</v>
      </c>
      <c r="J29" s="21">
        <v>27</v>
      </c>
      <c r="K29" s="21">
        <v>10</v>
      </c>
      <c r="L29" s="34">
        <v>150</v>
      </c>
      <c r="M29" s="20" t="s">
        <v>1228</v>
      </c>
      <c r="N29" s="20" t="s">
        <v>1229</v>
      </c>
      <c r="O29" s="29"/>
      <c r="P29" s="29"/>
      <c r="Q29" s="20" t="s">
        <v>53</v>
      </c>
      <c r="R29" s="21" t="s">
        <v>1128</v>
      </c>
    </row>
    <row r="30" spans="1:18" s="21" customFormat="1" x14ac:dyDescent="0.35">
      <c r="A30" s="21">
        <f>IF(D30="","",ROW()-1)</f>
        <v>29</v>
      </c>
      <c r="B30" s="21" t="s">
        <v>34</v>
      </c>
      <c r="C30" s="21" t="s">
        <v>1127</v>
      </c>
      <c r="D30" s="21" t="s">
        <v>32</v>
      </c>
      <c r="E30" s="21" t="s">
        <v>1211</v>
      </c>
      <c r="F30" s="21" t="s">
        <v>1212</v>
      </c>
      <c r="G30" s="21" t="s">
        <v>1213</v>
      </c>
      <c r="H30" s="40" t="s">
        <v>1244</v>
      </c>
      <c r="I30" s="40" t="s">
        <v>1245</v>
      </c>
      <c r="J30" s="41">
        <v>20</v>
      </c>
      <c r="K30" s="21">
        <v>10</v>
      </c>
      <c r="L30" s="34">
        <v>150</v>
      </c>
      <c r="M30" s="20" t="s">
        <v>1228</v>
      </c>
      <c r="N30" s="20" t="s">
        <v>1229</v>
      </c>
      <c r="O30" s="29"/>
      <c r="P30" s="29"/>
      <c r="Q30" s="20" t="s">
        <v>53</v>
      </c>
      <c r="R30" s="21" t="s">
        <v>1128</v>
      </c>
    </row>
    <row r="31" spans="1:18" s="21" customFormat="1" x14ac:dyDescent="0.35">
      <c r="A31" s="21">
        <f>IF(D31="","",ROW()-1)</f>
        <v>30</v>
      </c>
      <c r="B31" s="21" t="s">
        <v>34</v>
      </c>
      <c r="C31" s="21" t="s">
        <v>1127</v>
      </c>
      <c r="D31" s="21" t="s">
        <v>32</v>
      </c>
      <c r="E31" s="21" t="s">
        <v>1214</v>
      </c>
      <c r="F31" s="21" t="s">
        <v>1215</v>
      </c>
      <c r="G31" s="21" t="s">
        <v>1216</v>
      </c>
      <c r="H31" s="20" t="s">
        <v>1246</v>
      </c>
      <c r="I31" s="20">
        <v>82365465300</v>
      </c>
      <c r="J31" s="21">
        <v>25</v>
      </c>
      <c r="K31" s="21">
        <v>5</v>
      </c>
      <c r="L31" s="34">
        <v>75</v>
      </c>
      <c r="M31" s="20" t="s">
        <v>1228</v>
      </c>
      <c r="N31" s="20" t="s">
        <v>1229</v>
      </c>
      <c r="O31" s="29"/>
      <c r="P31" s="29"/>
      <c r="Q31" s="20" t="s">
        <v>53</v>
      </c>
      <c r="R31" s="21" t="s">
        <v>1128</v>
      </c>
    </row>
    <row r="32" spans="1:18" s="21" customFormat="1" x14ac:dyDescent="0.35">
      <c r="A32" s="21">
        <f>IF(D32="","",ROW()-1)</f>
        <v>31</v>
      </c>
      <c r="B32" s="21" t="s">
        <v>34</v>
      </c>
      <c r="C32" s="21" t="s">
        <v>1127</v>
      </c>
      <c r="D32" s="21" t="s">
        <v>25</v>
      </c>
      <c r="E32" s="21" t="s">
        <v>774</v>
      </c>
      <c r="F32" s="21" t="s">
        <v>660</v>
      </c>
      <c r="G32" s="21" t="s">
        <v>1217</v>
      </c>
      <c r="H32" s="39" t="s">
        <v>777</v>
      </c>
      <c r="I32" s="39" t="s">
        <v>1235</v>
      </c>
      <c r="J32" s="21">
        <v>20</v>
      </c>
      <c r="K32" s="21">
        <v>8</v>
      </c>
      <c r="L32" s="34">
        <v>120</v>
      </c>
      <c r="M32" s="20" t="s">
        <v>1228</v>
      </c>
      <c r="N32" s="20" t="s">
        <v>1229</v>
      </c>
      <c r="O32" s="29"/>
      <c r="P32" s="29"/>
      <c r="Q32" s="20" t="s">
        <v>53</v>
      </c>
      <c r="R32" s="21" t="s">
        <v>1128</v>
      </c>
    </row>
    <row r="33" spans="1:18" s="21" customFormat="1" x14ac:dyDescent="0.35">
      <c r="A33" s="21">
        <f>IF(D33="","",ROW()-1)</f>
        <v>32</v>
      </c>
      <c r="B33" s="21" t="s">
        <v>34</v>
      </c>
      <c r="C33" s="21" t="s">
        <v>1127</v>
      </c>
      <c r="D33" s="21" t="s">
        <v>25</v>
      </c>
      <c r="E33" s="21" t="s">
        <v>839</v>
      </c>
      <c r="F33" s="21" t="s">
        <v>1218</v>
      </c>
      <c r="G33" s="21" t="s">
        <v>1219</v>
      </c>
      <c r="H33" s="39" t="s">
        <v>1230</v>
      </c>
      <c r="I33" s="39" t="s">
        <v>843</v>
      </c>
      <c r="J33" s="21">
        <v>17</v>
      </c>
      <c r="K33" s="21">
        <v>5</v>
      </c>
      <c r="L33" s="34">
        <v>75</v>
      </c>
      <c r="M33" s="20" t="s">
        <v>1228</v>
      </c>
      <c r="N33" s="20" t="s">
        <v>1229</v>
      </c>
      <c r="O33" s="29"/>
      <c r="P33" s="29"/>
      <c r="Q33" s="20" t="s">
        <v>53</v>
      </c>
      <c r="R33" s="21" t="s">
        <v>1128</v>
      </c>
    </row>
    <row r="34" spans="1:18" s="21" customFormat="1" x14ac:dyDescent="0.35">
      <c r="A34" s="21">
        <f>IF(D34="","",ROW()-1)</f>
        <v>33</v>
      </c>
      <c r="B34" s="21" t="s">
        <v>34</v>
      </c>
      <c r="C34" s="21" t="s">
        <v>1127</v>
      </c>
      <c r="D34" s="21" t="s">
        <v>25</v>
      </c>
      <c r="E34" s="21" t="s">
        <v>1220</v>
      </c>
      <c r="F34" s="21" t="s">
        <v>80</v>
      </c>
      <c r="G34" s="21" t="s">
        <v>1221</v>
      </c>
      <c r="H34" s="39" t="s">
        <v>1231</v>
      </c>
      <c r="I34" s="39" t="s">
        <v>805</v>
      </c>
      <c r="J34" s="21">
        <v>36</v>
      </c>
      <c r="K34" s="21">
        <v>12</v>
      </c>
      <c r="L34" s="34">
        <v>180</v>
      </c>
      <c r="M34" s="20" t="s">
        <v>1228</v>
      </c>
      <c r="N34" s="20" t="s">
        <v>1229</v>
      </c>
      <c r="O34" s="29"/>
      <c r="P34" s="29"/>
      <c r="Q34" s="20" t="s">
        <v>53</v>
      </c>
      <c r="R34" s="21" t="s">
        <v>1128</v>
      </c>
    </row>
    <row r="35" spans="1:18" s="21" customFormat="1" x14ac:dyDescent="0.35">
      <c r="A35" s="21">
        <f>IF(D35="","",ROW()-1)</f>
        <v>34</v>
      </c>
      <c r="B35" s="21" t="s">
        <v>34</v>
      </c>
      <c r="C35" s="21" t="s">
        <v>1127</v>
      </c>
      <c r="D35" s="21" t="s">
        <v>25</v>
      </c>
      <c r="E35" s="21" t="s">
        <v>740</v>
      </c>
      <c r="F35" s="21" t="s">
        <v>1222</v>
      </c>
      <c r="G35" s="21" t="s">
        <v>1223</v>
      </c>
      <c r="H35" s="39" t="s">
        <v>1232</v>
      </c>
      <c r="I35" s="39" t="s">
        <v>744</v>
      </c>
      <c r="J35" s="21">
        <v>17</v>
      </c>
      <c r="K35" s="21">
        <v>8</v>
      </c>
      <c r="L35" s="34">
        <v>120</v>
      </c>
      <c r="M35" s="20" t="s">
        <v>1228</v>
      </c>
      <c r="N35" s="20" t="s">
        <v>1229</v>
      </c>
      <c r="O35" s="29"/>
      <c r="P35" s="29"/>
      <c r="Q35" s="20" t="s">
        <v>53</v>
      </c>
      <c r="R35" s="21" t="s">
        <v>1128</v>
      </c>
    </row>
    <row r="36" spans="1:18" s="21" customFormat="1" x14ac:dyDescent="0.35">
      <c r="A36" s="21">
        <f>IF(D36="","",ROW()-1)</f>
        <v>35</v>
      </c>
      <c r="B36" s="21" t="s">
        <v>34</v>
      </c>
      <c r="C36" s="21" t="s">
        <v>1127</v>
      </c>
      <c r="D36" s="21" t="s">
        <v>25</v>
      </c>
      <c r="E36" s="21" t="s">
        <v>1224</v>
      </c>
      <c r="F36" s="21" t="s">
        <v>1225</v>
      </c>
      <c r="G36" s="21" t="s">
        <v>1226</v>
      </c>
      <c r="H36" s="39" t="s">
        <v>1233</v>
      </c>
      <c r="I36" s="39" t="s">
        <v>1236</v>
      </c>
      <c r="J36" s="21">
        <v>23</v>
      </c>
      <c r="K36" s="21">
        <v>8</v>
      </c>
      <c r="L36" s="34">
        <v>120</v>
      </c>
      <c r="M36" s="20" t="s">
        <v>1228</v>
      </c>
      <c r="N36" s="20" t="s">
        <v>1229</v>
      </c>
      <c r="O36" s="29"/>
      <c r="P36" s="29"/>
      <c r="Q36" s="20" t="s">
        <v>53</v>
      </c>
      <c r="R36" s="21" t="s">
        <v>1128</v>
      </c>
    </row>
    <row r="37" spans="1:18" s="21" customFormat="1" x14ac:dyDescent="0.35">
      <c r="A37" s="21">
        <f t="shared" ref="A37:A45" si="1">IF(D37="","",ROW()-1)</f>
        <v>36</v>
      </c>
      <c r="B37" s="21" t="s">
        <v>34</v>
      </c>
      <c r="C37" s="21" t="s">
        <v>1127</v>
      </c>
      <c r="D37" s="21" t="s">
        <v>25</v>
      </c>
      <c r="E37" s="21" t="s">
        <v>1177</v>
      </c>
      <c r="F37" s="21" t="s">
        <v>80</v>
      </c>
      <c r="G37" s="21" t="s">
        <v>1227</v>
      </c>
      <c r="H37" s="39" t="s">
        <v>1234</v>
      </c>
      <c r="I37" s="39" t="s">
        <v>1237</v>
      </c>
      <c r="J37" s="21">
        <v>20</v>
      </c>
      <c r="K37" s="21">
        <v>9</v>
      </c>
      <c r="L37" s="34">
        <v>135</v>
      </c>
      <c r="M37" s="20" t="s">
        <v>1228</v>
      </c>
      <c r="N37" s="20" t="s">
        <v>1229</v>
      </c>
      <c r="O37" s="29"/>
      <c r="P37" s="29"/>
      <c r="Q37" s="20" t="s">
        <v>53</v>
      </c>
      <c r="R37" s="21" t="s">
        <v>1128</v>
      </c>
    </row>
    <row r="38" spans="1:18" s="21" customFormat="1" x14ac:dyDescent="0.35">
      <c r="A38" s="21">
        <f t="shared" si="1"/>
        <v>37</v>
      </c>
      <c r="B38" s="21" t="s">
        <v>34</v>
      </c>
      <c r="C38" s="21" t="s">
        <v>1252</v>
      </c>
      <c r="D38" s="21" t="s">
        <v>33</v>
      </c>
      <c r="E38" s="21" t="s">
        <v>1247</v>
      </c>
      <c r="F38" s="21" t="s">
        <v>1248</v>
      </c>
      <c r="G38" s="21" t="s">
        <v>1249</v>
      </c>
      <c r="H38" s="20" t="s">
        <v>1250</v>
      </c>
      <c r="I38" s="20" t="s">
        <v>1251</v>
      </c>
      <c r="J38" s="21">
        <v>12</v>
      </c>
      <c r="K38" s="21">
        <v>15</v>
      </c>
      <c r="L38" s="34">
        <v>225</v>
      </c>
      <c r="M38" s="20" t="s">
        <v>1228</v>
      </c>
      <c r="N38" s="20" t="s">
        <v>1315</v>
      </c>
      <c r="O38" s="42" t="s">
        <v>1316</v>
      </c>
      <c r="P38" s="7" t="s">
        <v>1317</v>
      </c>
      <c r="Q38" s="20" t="s">
        <v>53</v>
      </c>
      <c r="R38" s="21" t="s">
        <v>1128</v>
      </c>
    </row>
    <row r="39" spans="1:18" s="21" customFormat="1" x14ac:dyDescent="0.35">
      <c r="A39" s="21">
        <f t="shared" si="1"/>
        <v>38</v>
      </c>
      <c r="B39" s="21" t="s">
        <v>34</v>
      </c>
      <c r="C39" s="21" t="s">
        <v>1252</v>
      </c>
      <c r="D39" s="21" t="s">
        <v>33</v>
      </c>
      <c r="E39" s="21" t="s">
        <v>1160</v>
      </c>
      <c r="F39" s="21" t="s">
        <v>958</v>
      </c>
      <c r="G39" s="21" t="s">
        <v>959</v>
      </c>
      <c r="H39" s="20" t="s">
        <v>960</v>
      </c>
      <c r="I39" s="20" t="s">
        <v>961</v>
      </c>
      <c r="J39" s="21">
        <v>20</v>
      </c>
      <c r="K39" s="21">
        <v>15</v>
      </c>
      <c r="L39" s="34">
        <v>225</v>
      </c>
      <c r="M39" s="20" t="s">
        <v>1228</v>
      </c>
      <c r="N39" s="20" t="s">
        <v>1315</v>
      </c>
      <c r="O39" s="42" t="s">
        <v>1318</v>
      </c>
      <c r="P39" s="7" t="s">
        <v>1319</v>
      </c>
      <c r="Q39" s="20" t="s">
        <v>53</v>
      </c>
      <c r="R39" s="21" t="s">
        <v>1128</v>
      </c>
    </row>
    <row r="40" spans="1:18" s="21" customFormat="1" x14ac:dyDescent="0.35">
      <c r="A40" s="21">
        <f t="shared" si="1"/>
        <v>39</v>
      </c>
      <c r="B40" s="21" t="s">
        <v>34</v>
      </c>
      <c r="C40" s="21" t="s">
        <v>1252</v>
      </c>
      <c r="D40" s="7" t="s">
        <v>31</v>
      </c>
      <c r="E40" s="21" t="s">
        <v>1253</v>
      </c>
      <c r="F40" s="21" t="s">
        <v>1254</v>
      </c>
      <c r="G40" s="21" t="s">
        <v>1255</v>
      </c>
      <c r="H40" s="20" t="s">
        <v>1256</v>
      </c>
      <c r="I40" s="20" t="s">
        <v>1257</v>
      </c>
      <c r="J40" s="21">
        <v>35</v>
      </c>
      <c r="K40" s="21">
        <v>10</v>
      </c>
      <c r="L40" s="34">
        <v>150</v>
      </c>
      <c r="M40" s="20" t="s">
        <v>1228</v>
      </c>
      <c r="N40" s="20" t="s">
        <v>1315</v>
      </c>
      <c r="O40" s="42" t="s">
        <v>1320</v>
      </c>
      <c r="P40" s="7" t="s">
        <v>1321</v>
      </c>
      <c r="Q40" s="20" t="s">
        <v>53</v>
      </c>
      <c r="R40" s="21" t="s">
        <v>1128</v>
      </c>
    </row>
    <row r="41" spans="1:18" s="21" customFormat="1" x14ac:dyDescent="0.35">
      <c r="A41" s="21">
        <f t="shared" si="1"/>
        <v>40</v>
      </c>
      <c r="B41" s="21" t="s">
        <v>34</v>
      </c>
      <c r="C41" s="21" t="s">
        <v>1252</v>
      </c>
      <c r="D41" s="7" t="s">
        <v>31</v>
      </c>
      <c r="E41" s="21" t="s">
        <v>175</v>
      </c>
      <c r="F41" s="21" t="s">
        <v>176</v>
      </c>
      <c r="G41" s="21" t="s">
        <v>177</v>
      </c>
      <c r="H41" s="20" t="s">
        <v>178</v>
      </c>
      <c r="I41" s="20" t="s">
        <v>179</v>
      </c>
      <c r="J41" s="21">
        <v>32</v>
      </c>
      <c r="K41" s="21">
        <v>10</v>
      </c>
      <c r="L41" s="34">
        <v>150</v>
      </c>
      <c r="M41" s="20" t="s">
        <v>1228</v>
      </c>
      <c r="N41" s="20" t="s">
        <v>1315</v>
      </c>
      <c r="O41" s="43" t="s">
        <v>1322</v>
      </c>
      <c r="P41" s="44" t="s">
        <v>1323</v>
      </c>
      <c r="Q41" s="20" t="s">
        <v>53</v>
      </c>
      <c r="R41" s="21" t="s">
        <v>1128</v>
      </c>
    </row>
    <row r="42" spans="1:18" s="21" customFormat="1" x14ac:dyDescent="0.35">
      <c r="A42" s="21">
        <f t="shared" si="1"/>
        <v>41</v>
      </c>
      <c r="B42" s="21" t="s">
        <v>34</v>
      </c>
      <c r="C42" s="21" t="s">
        <v>1252</v>
      </c>
      <c r="D42" s="7" t="s">
        <v>31</v>
      </c>
      <c r="E42" s="21" t="s">
        <v>1258</v>
      </c>
      <c r="F42" s="21" t="s">
        <v>1259</v>
      </c>
      <c r="G42" s="21" t="s">
        <v>1260</v>
      </c>
      <c r="H42" s="20" t="s">
        <v>1261</v>
      </c>
      <c r="I42" s="20" t="s">
        <v>1262</v>
      </c>
      <c r="J42" s="21">
        <v>26</v>
      </c>
      <c r="K42" s="21">
        <v>10</v>
      </c>
      <c r="L42" s="34">
        <v>150</v>
      </c>
      <c r="M42" s="20" t="s">
        <v>1228</v>
      </c>
      <c r="N42" s="20" t="s">
        <v>1315</v>
      </c>
      <c r="O42" s="43" t="s">
        <v>1324</v>
      </c>
      <c r="P42" s="7" t="s">
        <v>1325</v>
      </c>
      <c r="Q42" s="20" t="s">
        <v>53</v>
      </c>
      <c r="R42" s="21" t="s">
        <v>1128</v>
      </c>
    </row>
    <row r="43" spans="1:18" s="21" customFormat="1" x14ac:dyDescent="0.35">
      <c r="A43" s="21">
        <f t="shared" si="1"/>
        <v>42</v>
      </c>
      <c r="B43" s="21" t="s">
        <v>34</v>
      </c>
      <c r="C43" s="21" t="s">
        <v>1252</v>
      </c>
      <c r="D43" s="7" t="s">
        <v>31</v>
      </c>
      <c r="E43" s="21" t="s">
        <v>98</v>
      </c>
      <c r="F43" s="21" t="s">
        <v>99</v>
      </c>
      <c r="G43" s="21" t="s">
        <v>100</v>
      </c>
      <c r="H43" s="20" t="s">
        <v>101</v>
      </c>
      <c r="I43" s="20" t="s">
        <v>1263</v>
      </c>
      <c r="J43" s="21">
        <v>32</v>
      </c>
      <c r="K43" s="21">
        <v>10</v>
      </c>
      <c r="L43" s="34">
        <v>150</v>
      </c>
      <c r="M43" s="20" t="s">
        <v>1228</v>
      </c>
      <c r="N43" s="20" t="s">
        <v>1315</v>
      </c>
      <c r="O43" s="43">
        <v>1.20922</v>
      </c>
      <c r="P43" s="35" t="s">
        <v>1326</v>
      </c>
      <c r="Q43" s="20" t="s">
        <v>53</v>
      </c>
      <c r="R43" s="21" t="s">
        <v>1128</v>
      </c>
    </row>
    <row r="44" spans="1:18" s="21" customFormat="1" x14ac:dyDescent="0.35">
      <c r="A44" s="21">
        <f t="shared" si="1"/>
        <v>43</v>
      </c>
      <c r="B44" s="21" t="s">
        <v>34</v>
      </c>
      <c r="C44" s="21" t="s">
        <v>1252</v>
      </c>
      <c r="D44" s="21" t="s">
        <v>21</v>
      </c>
      <c r="E44" s="21" t="s">
        <v>1264</v>
      </c>
      <c r="F44" s="21" t="s">
        <v>80</v>
      </c>
      <c r="G44" s="21" t="s">
        <v>1265</v>
      </c>
      <c r="H44" s="20" t="s">
        <v>1266</v>
      </c>
      <c r="I44" s="20" t="s">
        <v>1267</v>
      </c>
      <c r="J44" s="21">
        <v>35</v>
      </c>
      <c r="K44" s="21">
        <v>5</v>
      </c>
      <c r="L44" s="34">
        <v>75</v>
      </c>
      <c r="M44" s="20" t="s">
        <v>1228</v>
      </c>
      <c r="N44" s="20" t="s">
        <v>1315</v>
      </c>
      <c r="O44" s="45" t="s">
        <v>1327</v>
      </c>
      <c r="P44" s="45" t="s">
        <v>1328</v>
      </c>
      <c r="Q44" s="20" t="s">
        <v>53</v>
      </c>
      <c r="R44" s="21" t="s">
        <v>1128</v>
      </c>
    </row>
    <row r="45" spans="1:18" s="21" customFormat="1" x14ac:dyDescent="0.35">
      <c r="A45" s="21">
        <f t="shared" si="1"/>
        <v>44</v>
      </c>
      <c r="B45" s="21" t="s">
        <v>34</v>
      </c>
      <c r="C45" s="21" t="s">
        <v>1252</v>
      </c>
      <c r="D45" s="21" t="s">
        <v>21</v>
      </c>
      <c r="E45" s="21" t="s">
        <v>1268</v>
      </c>
      <c r="F45" s="21" t="s">
        <v>353</v>
      </c>
      <c r="G45" s="21" t="s">
        <v>1269</v>
      </c>
      <c r="H45" s="20" t="s">
        <v>1270</v>
      </c>
      <c r="I45" s="20" t="s">
        <v>1271</v>
      </c>
      <c r="J45" s="21">
        <v>25</v>
      </c>
      <c r="K45" s="21">
        <v>5</v>
      </c>
      <c r="L45" s="34">
        <v>75</v>
      </c>
      <c r="M45" s="20" t="s">
        <v>1228</v>
      </c>
      <c r="N45" s="20" t="s">
        <v>1315</v>
      </c>
      <c r="O45" s="7" t="s">
        <v>1329</v>
      </c>
      <c r="P45" s="7" t="s">
        <v>1330</v>
      </c>
      <c r="Q45" s="20" t="s">
        <v>53</v>
      </c>
      <c r="R45" s="21" t="s">
        <v>1128</v>
      </c>
    </row>
    <row r="46" spans="1:18" s="21" customFormat="1" x14ac:dyDescent="0.35">
      <c r="A46" s="21">
        <f>IF(D46="","",ROW()-1)</f>
        <v>45</v>
      </c>
      <c r="B46" s="21" t="s">
        <v>34</v>
      </c>
      <c r="C46" s="21" t="s">
        <v>1252</v>
      </c>
      <c r="D46" s="21" t="s">
        <v>21</v>
      </c>
      <c r="E46" s="21" t="s">
        <v>1272</v>
      </c>
      <c r="F46" s="21" t="s">
        <v>105</v>
      </c>
      <c r="G46" s="21" t="s">
        <v>1273</v>
      </c>
      <c r="H46" s="20" t="s">
        <v>1274</v>
      </c>
      <c r="I46" s="20" t="s">
        <v>1275</v>
      </c>
      <c r="J46" s="21">
        <v>30</v>
      </c>
      <c r="K46" s="21">
        <v>5</v>
      </c>
      <c r="L46" s="34">
        <v>75</v>
      </c>
      <c r="M46" s="20" t="s">
        <v>1228</v>
      </c>
      <c r="N46" s="20" t="s">
        <v>1315</v>
      </c>
      <c r="O46" s="7" t="s">
        <v>1331</v>
      </c>
      <c r="P46" s="7" t="s">
        <v>1332</v>
      </c>
      <c r="Q46" s="20" t="s">
        <v>53</v>
      </c>
      <c r="R46" s="21" t="s">
        <v>1128</v>
      </c>
    </row>
    <row r="47" spans="1:18" s="21" customFormat="1" x14ac:dyDescent="0.35">
      <c r="A47" s="21">
        <f>IF(D47="","",ROW()-1)</f>
        <v>46</v>
      </c>
      <c r="B47" s="21" t="s">
        <v>34</v>
      </c>
      <c r="C47" s="21" t="s">
        <v>1252</v>
      </c>
      <c r="D47" s="21" t="s">
        <v>21</v>
      </c>
      <c r="E47" s="21" t="s">
        <v>1276</v>
      </c>
      <c r="F47" s="21" t="s">
        <v>61</v>
      </c>
      <c r="G47" s="21" t="s">
        <v>1277</v>
      </c>
      <c r="H47" s="20" t="s">
        <v>1278</v>
      </c>
      <c r="I47" s="20" t="s">
        <v>1279</v>
      </c>
      <c r="J47" s="21">
        <v>22</v>
      </c>
      <c r="K47" s="21">
        <v>5</v>
      </c>
      <c r="L47" s="34">
        <v>75</v>
      </c>
      <c r="M47" s="20" t="s">
        <v>1228</v>
      </c>
      <c r="N47" s="20" t="s">
        <v>1315</v>
      </c>
      <c r="O47" s="46" t="s">
        <v>1333</v>
      </c>
      <c r="P47" s="47" t="s">
        <v>1334</v>
      </c>
      <c r="Q47" s="20" t="s">
        <v>53</v>
      </c>
      <c r="R47" s="21" t="s">
        <v>1128</v>
      </c>
    </row>
    <row r="48" spans="1:18" s="21" customFormat="1" x14ac:dyDescent="0.35">
      <c r="A48" s="21">
        <f>IF(D48="","",ROW()-1)</f>
        <v>47</v>
      </c>
      <c r="B48" s="21" t="s">
        <v>34</v>
      </c>
      <c r="C48" s="21" t="s">
        <v>1252</v>
      </c>
      <c r="D48" s="21" t="s">
        <v>25</v>
      </c>
      <c r="E48" s="21" t="s">
        <v>684</v>
      </c>
      <c r="F48" s="21" t="s">
        <v>1280</v>
      </c>
      <c r="G48" s="21" t="s">
        <v>1281</v>
      </c>
      <c r="H48" s="20" t="s">
        <v>1282</v>
      </c>
      <c r="I48" s="20" t="s">
        <v>688</v>
      </c>
      <c r="J48" s="21">
        <v>25</v>
      </c>
      <c r="K48" s="21">
        <v>5</v>
      </c>
      <c r="L48" s="34">
        <v>75</v>
      </c>
      <c r="M48" s="20" t="s">
        <v>1228</v>
      </c>
      <c r="N48" s="20" t="s">
        <v>1315</v>
      </c>
      <c r="O48" s="48" t="s">
        <v>1335</v>
      </c>
      <c r="P48" s="48" t="s">
        <v>1336</v>
      </c>
      <c r="Q48" s="20" t="s">
        <v>53</v>
      </c>
      <c r="R48" s="21" t="s">
        <v>1128</v>
      </c>
    </row>
    <row r="49" spans="1:18" s="21" customFormat="1" x14ac:dyDescent="0.35">
      <c r="A49" s="21">
        <f>IF(D49="","",ROW()-1)</f>
        <v>48</v>
      </c>
      <c r="B49" s="21" t="s">
        <v>34</v>
      </c>
      <c r="C49" s="21" t="s">
        <v>1252</v>
      </c>
      <c r="D49" s="21" t="s">
        <v>32</v>
      </c>
      <c r="E49" s="21" t="s">
        <v>609</v>
      </c>
      <c r="F49" s="21" t="s">
        <v>214</v>
      </c>
      <c r="G49" s="21" t="s">
        <v>1283</v>
      </c>
      <c r="H49" s="20" t="s">
        <v>1284</v>
      </c>
      <c r="I49" s="20" t="s">
        <v>1285</v>
      </c>
      <c r="J49" s="21">
        <v>25</v>
      </c>
      <c r="K49" s="21">
        <v>6</v>
      </c>
      <c r="L49" s="34">
        <v>90</v>
      </c>
      <c r="M49" s="20" t="s">
        <v>1228</v>
      </c>
      <c r="N49" s="20" t="s">
        <v>1315</v>
      </c>
      <c r="O49" s="7" t="s">
        <v>1337</v>
      </c>
      <c r="P49" s="7" t="s">
        <v>1338</v>
      </c>
      <c r="Q49" s="20" t="s">
        <v>53</v>
      </c>
      <c r="R49" s="21" t="s">
        <v>1128</v>
      </c>
    </row>
    <row r="50" spans="1:18" s="21" customFormat="1" x14ac:dyDescent="0.35">
      <c r="A50" s="21">
        <f>IF(D50="","",ROW()-1)</f>
        <v>49</v>
      </c>
      <c r="B50" s="21" t="s">
        <v>34</v>
      </c>
      <c r="C50" s="21" t="s">
        <v>1252</v>
      </c>
      <c r="D50" s="21" t="s">
        <v>26</v>
      </c>
      <c r="E50" s="21" t="s">
        <v>1286</v>
      </c>
      <c r="F50" s="21" t="s">
        <v>268</v>
      </c>
      <c r="G50" s="21" t="s">
        <v>269</v>
      </c>
      <c r="H50" s="20" t="s">
        <v>270</v>
      </c>
      <c r="I50" s="20" t="s">
        <v>1287</v>
      </c>
      <c r="J50" s="21">
        <v>32</v>
      </c>
      <c r="K50" s="21">
        <v>15</v>
      </c>
      <c r="L50" s="34">
        <v>225</v>
      </c>
      <c r="M50" s="20" t="s">
        <v>1228</v>
      </c>
      <c r="N50" s="20" t="s">
        <v>1315</v>
      </c>
      <c r="O50" s="49" t="s">
        <v>1339</v>
      </c>
      <c r="P50" s="49" t="s">
        <v>279</v>
      </c>
      <c r="Q50" s="20" t="s">
        <v>53</v>
      </c>
      <c r="R50" s="21" t="s">
        <v>1128</v>
      </c>
    </row>
    <row r="51" spans="1:18" s="21" customFormat="1" x14ac:dyDescent="0.35">
      <c r="A51" s="21">
        <f>IF(D51="","",ROW()-1)</f>
        <v>50</v>
      </c>
      <c r="B51" s="21" t="s">
        <v>34</v>
      </c>
      <c r="C51" s="21" t="s">
        <v>1252</v>
      </c>
      <c r="D51" s="21" t="s">
        <v>23</v>
      </c>
      <c r="E51" s="21" t="s">
        <v>728</v>
      </c>
      <c r="F51" s="21" t="s">
        <v>1288</v>
      </c>
      <c r="G51" s="21" t="s">
        <v>1289</v>
      </c>
      <c r="H51" s="20" t="s">
        <v>1290</v>
      </c>
      <c r="I51" s="20" t="s">
        <v>1291</v>
      </c>
      <c r="J51" s="21">
        <v>26</v>
      </c>
      <c r="K51" s="21">
        <v>16</v>
      </c>
      <c r="L51" s="34">
        <v>240</v>
      </c>
      <c r="M51" s="20" t="s">
        <v>1228</v>
      </c>
      <c r="N51" s="20" t="s">
        <v>1315</v>
      </c>
      <c r="O51" s="44" t="s">
        <v>1340</v>
      </c>
      <c r="P51" s="7" t="s">
        <v>1341</v>
      </c>
      <c r="Q51" s="20" t="s">
        <v>53</v>
      </c>
      <c r="R51" s="21" t="s">
        <v>1128</v>
      </c>
    </row>
    <row r="52" spans="1:18" s="21" customFormat="1" x14ac:dyDescent="0.35">
      <c r="A52" s="21">
        <f>IF(D52="","",ROW()-1)</f>
        <v>51</v>
      </c>
      <c r="B52" s="21" t="s">
        <v>34</v>
      </c>
      <c r="C52" s="21" t="s">
        <v>1252</v>
      </c>
      <c r="D52" s="21" t="s">
        <v>23</v>
      </c>
      <c r="E52" s="21" t="s">
        <v>1292</v>
      </c>
      <c r="F52" s="21" t="s">
        <v>1293</v>
      </c>
      <c r="G52" s="21" t="s">
        <v>1294</v>
      </c>
      <c r="H52" s="20" t="s">
        <v>1295</v>
      </c>
      <c r="I52" s="20" t="s">
        <v>1296</v>
      </c>
      <c r="J52" s="21">
        <v>14</v>
      </c>
      <c r="K52" s="21">
        <v>8</v>
      </c>
      <c r="L52" s="34">
        <v>120</v>
      </c>
      <c r="M52" s="20" t="s">
        <v>1228</v>
      </c>
      <c r="N52" s="20" t="s">
        <v>1315</v>
      </c>
      <c r="O52" s="7" t="s">
        <v>1342</v>
      </c>
      <c r="P52" s="7" t="s">
        <v>1343</v>
      </c>
      <c r="Q52" s="20" t="s">
        <v>53</v>
      </c>
      <c r="R52" s="21" t="s">
        <v>1128</v>
      </c>
    </row>
    <row r="53" spans="1:18" s="21" customFormat="1" x14ac:dyDescent="0.35">
      <c r="A53" s="21">
        <f>IF(D53="","",ROW()-1)</f>
        <v>52</v>
      </c>
      <c r="B53" s="21" t="s">
        <v>34</v>
      </c>
      <c r="C53" s="21" t="s">
        <v>1252</v>
      </c>
      <c r="D53" s="21" t="s">
        <v>23</v>
      </c>
      <c r="E53" s="21" t="s">
        <v>728</v>
      </c>
      <c r="F53" s="21" t="s">
        <v>1297</v>
      </c>
      <c r="G53" s="21" t="s">
        <v>1298</v>
      </c>
      <c r="H53" s="20" t="s">
        <v>1299</v>
      </c>
      <c r="I53" s="20" t="s">
        <v>1300</v>
      </c>
      <c r="J53" s="21">
        <v>34</v>
      </c>
      <c r="K53" s="21">
        <v>10</v>
      </c>
      <c r="L53" s="34">
        <v>150</v>
      </c>
      <c r="M53" s="20" t="s">
        <v>1228</v>
      </c>
      <c r="N53" s="20" t="s">
        <v>1315</v>
      </c>
      <c r="O53" s="7">
        <v>1.2945800000000001</v>
      </c>
      <c r="P53" s="7">
        <v>99.183080000000004</v>
      </c>
      <c r="Q53" s="20" t="s">
        <v>53</v>
      </c>
      <c r="R53" s="21" t="s">
        <v>1128</v>
      </c>
    </row>
    <row r="54" spans="1:18" s="21" customFormat="1" x14ac:dyDescent="0.35">
      <c r="A54" s="21">
        <f>IF(D54="","",ROW()-1)</f>
        <v>53</v>
      </c>
      <c r="B54" s="21" t="s">
        <v>34</v>
      </c>
      <c r="C54" s="21" t="s">
        <v>1252</v>
      </c>
      <c r="D54" s="21" t="s">
        <v>28</v>
      </c>
      <c r="E54" s="21" t="s">
        <v>430</v>
      </c>
      <c r="F54" s="21" t="s">
        <v>1301</v>
      </c>
      <c r="G54" s="21" t="s">
        <v>1302</v>
      </c>
      <c r="H54" s="20" t="s">
        <v>1303</v>
      </c>
      <c r="I54" s="20" t="s">
        <v>1304</v>
      </c>
      <c r="J54" s="21">
        <v>19</v>
      </c>
      <c r="K54" s="21">
        <v>4</v>
      </c>
      <c r="L54" s="34">
        <v>60</v>
      </c>
      <c r="M54" s="20" t="s">
        <v>1228</v>
      </c>
      <c r="N54" s="20" t="s">
        <v>1315</v>
      </c>
      <c r="O54" s="7">
        <v>1.5024999999999999</v>
      </c>
      <c r="P54" s="7" t="s">
        <v>1344</v>
      </c>
      <c r="Q54" s="20" t="s">
        <v>53</v>
      </c>
      <c r="R54" s="21" t="s">
        <v>1128</v>
      </c>
    </row>
    <row r="55" spans="1:18" s="21" customFormat="1" x14ac:dyDescent="0.35">
      <c r="A55" s="21">
        <f>IF(D55="","",ROW()-1)</f>
        <v>54</v>
      </c>
      <c r="B55" s="21" t="s">
        <v>34</v>
      </c>
      <c r="C55" s="21" t="s">
        <v>1252</v>
      </c>
      <c r="D55" s="21" t="s">
        <v>28</v>
      </c>
      <c r="E55" s="21" t="s">
        <v>677</v>
      </c>
      <c r="F55" s="21" t="s">
        <v>1305</v>
      </c>
      <c r="G55" s="21" t="s">
        <v>1306</v>
      </c>
      <c r="H55" s="20" t="s">
        <v>1307</v>
      </c>
      <c r="I55" s="20" t="s">
        <v>1308</v>
      </c>
      <c r="J55" s="21">
        <v>26</v>
      </c>
      <c r="K55" s="21">
        <v>4</v>
      </c>
      <c r="L55" s="34">
        <v>60</v>
      </c>
      <c r="M55" s="20" t="s">
        <v>1228</v>
      </c>
      <c r="N55" s="20" t="s">
        <v>1315</v>
      </c>
      <c r="O55" s="7" t="s">
        <v>1345</v>
      </c>
      <c r="P55" s="7" t="s">
        <v>1346</v>
      </c>
      <c r="Q55" s="20" t="s">
        <v>53</v>
      </c>
      <c r="R55" s="21" t="s">
        <v>1128</v>
      </c>
    </row>
    <row r="56" spans="1:18" s="21" customFormat="1" x14ac:dyDescent="0.35">
      <c r="A56" s="21">
        <f>IF(D56="","",ROW()-1)</f>
        <v>55</v>
      </c>
      <c r="B56" s="21" t="s">
        <v>34</v>
      </c>
      <c r="C56" s="21" t="s">
        <v>1252</v>
      </c>
      <c r="D56" s="21" t="s">
        <v>20</v>
      </c>
      <c r="E56" s="21" t="s">
        <v>1309</v>
      </c>
      <c r="F56" s="21" t="s">
        <v>1310</v>
      </c>
      <c r="G56" s="21" t="s">
        <v>1311</v>
      </c>
      <c r="H56" s="20" t="s">
        <v>1312</v>
      </c>
      <c r="I56" s="20" t="s">
        <v>1313</v>
      </c>
      <c r="J56" s="21">
        <v>15</v>
      </c>
      <c r="K56" s="21">
        <v>4</v>
      </c>
      <c r="L56" s="34">
        <v>60</v>
      </c>
      <c r="M56" s="20" t="s">
        <v>1228</v>
      </c>
      <c r="N56" s="20" t="s">
        <v>1315</v>
      </c>
      <c r="O56" s="7" t="s">
        <v>1347</v>
      </c>
      <c r="P56" s="7" t="s">
        <v>1348</v>
      </c>
      <c r="Q56" s="20" t="s">
        <v>53</v>
      </c>
      <c r="R56" s="21" t="s">
        <v>1128</v>
      </c>
    </row>
    <row r="57" spans="1:18" s="21" customFormat="1" x14ac:dyDescent="0.35">
      <c r="A57" s="21">
        <f>IF(D57="","",ROW()-1)</f>
        <v>56</v>
      </c>
      <c r="B57" s="21" t="s">
        <v>34</v>
      </c>
      <c r="C57" s="21" t="s">
        <v>1252</v>
      </c>
      <c r="D57" s="21" t="s">
        <v>20</v>
      </c>
      <c r="E57" s="21" t="s">
        <v>499</v>
      </c>
      <c r="F57" s="21" t="s">
        <v>500</v>
      </c>
      <c r="G57" s="21" t="s">
        <v>1314</v>
      </c>
      <c r="H57" s="20" t="s">
        <v>502</v>
      </c>
      <c r="I57" s="20" t="s">
        <v>503</v>
      </c>
      <c r="J57" s="21">
        <v>15</v>
      </c>
      <c r="K57" s="21">
        <v>4</v>
      </c>
      <c r="L57" s="34">
        <v>60</v>
      </c>
      <c r="M57" s="20" t="s">
        <v>1228</v>
      </c>
      <c r="N57" s="20" t="s">
        <v>1315</v>
      </c>
      <c r="O57" s="18" t="s">
        <v>1349</v>
      </c>
      <c r="P57" s="18" t="s">
        <v>1350</v>
      </c>
      <c r="Q57" s="20" t="s">
        <v>53</v>
      </c>
      <c r="R57" s="21" t="s">
        <v>1128</v>
      </c>
    </row>
    <row r="58" spans="1:18" s="21" customFormat="1" x14ac:dyDescent="0.35">
      <c r="A58" s="21">
        <f>IF(D58="","",ROW()-1)</f>
        <v>57</v>
      </c>
      <c r="B58" s="21" t="s">
        <v>35</v>
      </c>
      <c r="C58" s="21" t="s">
        <v>1351</v>
      </c>
      <c r="D58" s="7" t="s">
        <v>31</v>
      </c>
      <c r="E58" s="21" t="s">
        <v>44</v>
      </c>
      <c r="F58" s="21" t="s">
        <v>45</v>
      </c>
      <c r="G58" s="21" t="s">
        <v>46</v>
      </c>
      <c r="H58" s="20" t="s">
        <v>47</v>
      </c>
      <c r="I58" s="20" t="s">
        <v>48</v>
      </c>
      <c r="J58" s="21">
        <v>41</v>
      </c>
      <c r="K58" s="21">
        <v>8</v>
      </c>
      <c r="L58" s="34">
        <v>120</v>
      </c>
      <c r="M58" s="20" t="s">
        <v>49</v>
      </c>
      <c r="N58" s="20" t="s">
        <v>50</v>
      </c>
      <c r="O58" s="21" t="s">
        <v>51</v>
      </c>
      <c r="P58" s="21" t="s">
        <v>52</v>
      </c>
      <c r="Q58" s="20" t="s">
        <v>53</v>
      </c>
      <c r="R58" s="21" t="s">
        <v>1117</v>
      </c>
    </row>
    <row r="59" spans="1:18" s="21" customFormat="1" x14ac:dyDescent="0.35">
      <c r="A59" s="21">
        <f>IF(D59="","",ROW()-1)</f>
        <v>58</v>
      </c>
      <c r="B59" s="21" t="s">
        <v>35</v>
      </c>
      <c r="C59" s="21" t="s">
        <v>1351</v>
      </c>
      <c r="D59" s="7" t="s">
        <v>31</v>
      </c>
      <c r="E59" s="21" t="s">
        <v>44</v>
      </c>
      <c r="F59" s="21" t="s">
        <v>54</v>
      </c>
      <c r="G59" s="21" t="s">
        <v>55</v>
      </c>
      <c r="H59" s="20" t="s">
        <v>56</v>
      </c>
      <c r="I59" s="20" t="s">
        <v>57</v>
      </c>
      <c r="J59" s="21">
        <v>24</v>
      </c>
      <c r="K59" s="21">
        <v>8</v>
      </c>
      <c r="L59" s="34">
        <v>120</v>
      </c>
      <c r="M59" s="20" t="s">
        <v>49</v>
      </c>
      <c r="N59" s="20" t="s">
        <v>50</v>
      </c>
      <c r="O59" s="21" t="s">
        <v>58</v>
      </c>
      <c r="P59" s="21" t="s">
        <v>59</v>
      </c>
      <c r="Q59" s="20" t="s">
        <v>53</v>
      </c>
      <c r="R59" s="21" t="s">
        <v>1117</v>
      </c>
    </row>
    <row r="60" spans="1:18" s="21" customFormat="1" x14ac:dyDescent="0.35">
      <c r="A60" s="21">
        <f>IF(D60="","",ROW()-1)</f>
        <v>59</v>
      </c>
      <c r="B60" s="21" t="s">
        <v>35</v>
      </c>
      <c r="C60" s="21" t="s">
        <v>1351</v>
      </c>
      <c r="D60" s="7" t="s">
        <v>31</v>
      </c>
      <c r="E60" s="21" t="s">
        <v>60</v>
      </c>
      <c r="F60" s="21" t="s">
        <v>61</v>
      </c>
      <c r="G60" s="21" t="s">
        <v>62</v>
      </c>
      <c r="H60" s="20" t="s">
        <v>63</v>
      </c>
      <c r="I60" s="20" t="s">
        <v>64</v>
      </c>
      <c r="J60" s="21">
        <v>14</v>
      </c>
      <c r="K60" s="21">
        <v>10</v>
      </c>
      <c r="L60" s="34">
        <v>150</v>
      </c>
      <c r="M60" s="20" t="s">
        <v>49</v>
      </c>
      <c r="N60" s="20" t="s">
        <v>50</v>
      </c>
      <c r="O60" s="21" t="s">
        <v>65</v>
      </c>
      <c r="P60" s="21" t="s">
        <v>66</v>
      </c>
      <c r="Q60" s="20" t="s">
        <v>53</v>
      </c>
      <c r="R60" s="21" t="s">
        <v>1117</v>
      </c>
    </row>
    <row r="61" spans="1:18" s="21" customFormat="1" x14ac:dyDescent="0.35">
      <c r="A61" s="21">
        <f>IF(D61="","",ROW()-1)</f>
        <v>60</v>
      </c>
      <c r="B61" s="21" t="s">
        <v>35</v>
      </c>
      <c r="C61" s="21" t="s">
        <v>1351</v>
      </c>
      <c r="D61" s="7" t="s">
        <v>31</v>
      </c>
      <c r="E61" s="21" t="s">
        <v>60</v>
      </c>
      <c r="F61" s="21" t="s">
        <v>67</v>
      </c>
      <c r="G61" s="21" t="s">
        <v>68</v>
      </c>
      <c r="H61" s="20" t="s">
        <v>69</v>
      </c>
      <c r="I61" s="20" t="s">
        <v>70</v>
      </c>
      <c r="J61" s="21">
        <v>27</v>
      </c>
      <c r="K61" s="21">
        <v>10</v>
      </c>
      <c r="L61" s="34">
        <v>150</v>
      </c>
      <c r="M61" s="20" t="s">
        <v>49</v>
      </c>
      <c r="N61" s="20" t="s">
        <v>50</v>
      </c>
      <c r="O61" s="21" t="s">
        <v>71</v>
      </c>
      <c r="P61" s="21" t="s">
        <v>72</v>
      </c>
      <c r="Q61" s="20" t="s">
        <v>53</v>
      </c>
      <c r="R61" s="21" t="s">
        <v>1117</v>
      </c>
    </row>
    <row r="62" spans="1:18" s="21" customFormat="1" x14ac:dyDescent="0.35">
      <c r="A62" s="21">
        <f>IF(D62="","",ROW()-1)</f>
        <v>61</v>
      </c>
      <c r="B62" s="21" t="s">
        <v>35</v>
      </c>
      <c r="C62" s="21" t="s">
        <v>1351</v>
      </c>
      <c r="D62" s="7" t="s">
        <v>31</v>
      </c>
      <c r="E62" s="21" t="s">
        <v>60</v>
      </c>
      <c r="F62" s="21" t="s">
        <v>73</v>
      </c>
      <c r="G62" s="21" t="s">
        <v>74</v>
      </c>
      <c r="H62" s="20" t="s">
        <v>75</v>
      </c>
      <c r="I62" s="20" t="s">
        <v>76</v>
      </c>
      <c r="J62" s="21">
        <v>28</v>
      </c>
      <c r="K62" s="21">
        <v>10</v>
      </c>
      <c r="L62" s="34">
        <v>150</v>
      </c>
      <c r="M62" s="20" t="s">
        <v>49</v>
      </c>
      <c r="N62" s="20" t="s">
        <v>50</v>
      </c>
      <c r="O62" s="21" t="s">
        <v>77</v>
      </c>
      <c r="P62" s="21" t="s">
        <v>78</v>
      </c>
      <c r="Q62" s="20" t="s">
        <v>53</v>
      </c>
      <c r="R62" s="21" t="s">
        <v>1117</v>
      </c>
    </row>
    <row r="63" spans="1:18" s="21" customFormat="1" x14ac:dyDescent="0.35">
      <c r="A63" s="21">
        <f>IF(D63="","",ROW()-1)</f>
        <v>62</v>
      </c>
      <c r="B63" s="21" t="s">
        <v>35</v>
      </c>
      <c r="C63" s="21" t="s">
        <v>1351</v>
      </c>
      <c r="D63" s="7" t="s">
        <v>31</v>
      </c>
      <c r="E63" s="21" t="s">
        <v>79</v>
      </c>
      <c r="F63" s="21" t="s">
        <v>80</v>
      </c>
      <c r="G63" s="21" t="s">
        <v>81</v>
      </c>
      <c r="H63" s="20" t="s">
        <v>82</v>
      </c>
      <c r="I63" s="20" t="s">
        <v>83</v>
      </c>
      <c r="J63" s="21">
        <v>15</v>
      </c>
      <c r="K63" s="21">
        <v>5</v>
      </c>
      <c r="L63" s="34">
        <v>75</v>
      </c>
      <c r="M63" s="20" t="s">
        <v>49</v>
      </c>
      <c r="N63" s="20" t="s">
        <v>50</v>
      </c>
      <c r="O63" s="21" t="s">
        <v>84</v>
      </c>
      <c r="P63" s="21" t="s">
        <v>85</v>
      </c>
      <c r="Q63" s="20" t="s">
        <v>53</v>
      </c>
      <c r="R63" s="21" t="s">
        <v>1117</v>
      </c>
    </row>
    <row r="64" spans="1:18" s="21" customFormat="1" x14ac:dyDescent="0.35">
      <c r="A64" s="21">
        <f>IF(D64="","",ROW()-1)</f>
        <v>63</v>
      </c>
      <c r="B64" s="21" t="s">
        <v>35</v>
      </c>
      <c r="C64" s="21" t="s">
        <v>1351</v>
      </c>
      <c r="D64" s="7" t="s">
        <v>31</v>
      </c>
      <c r="E64" s="21" t="s">
        <v>79</v>
      </c>
      <c r="F64" s="21" t="s">
        <v>86</v>
      </c>
      <c r="G64" s="21" t="s">
        <v>87</v>
      </c>
      <c r="H64" s="20" t="s">
        <v>88</v>
      </c>
      <c r="I64" s="20" t="s">
        <v>89</v>
      </c>
      <c r="J64" s="21">
        <v>28</v>
      </c>
      <c r="K64" s="21">
        <v>5</v>
      </c>
      <c r="L64" s="34">
        <v>75</v>
      </c>
      <c r="M64" s="20" t="s">
        <v>49</v>
      </c>
      <c r="N64" s="20" t="s">
        <v>50</v>
      </c>
      <c r="O64" s="21" t="s">
        <v>90</v>
      </c>
      <c r="P64" s="21" t="s">
        <v>91</v>
      </c>
      <c r="Q64" s="20" t="s">
        <v>53</v>
      </c>
      <c r="R64" s="21" t="s">
        <v>1117</v>
      </c>
    </row>
    <row r="65" spans="1:18" s="21" customFormat="1" x14ac:dyDescent="0.35">
      <c r="A65" s="21">
        <f>IF(D65="","",ROW()-1)</f>
        <v>64</v>
      </c>
      <c r="B65" s="21" t="s">
        <v>35</v>
      </c>
      <c r="C65" s="21" t="s">
        <v>1351</v>
      </c>
      <c r="D65" s="7" t="s">
        <v>31</v>
      </c>
      <c r="E65" s="21" t="s">
        <v>79</v>
      </c>
      <c r="F65" s="21" t="s">
        <v>92</v>
      </c>
      <c r="G65" s="21" t="s">
        <v>93</v>
      </c>
      <c r="H65" s="20" t="s">
        <v>94</v>
      </c>
      <c r="I65" s="20" t="s">
        <v>95</v>
      </c>
      <c r="J65" s="21">
        <v>15</v>
      </c>
      <c r="K65" s="21">
        <v>5</v>
      </c>
      <c r="L65" s="34">
        <v>75</v>
      </c>
      <c r="M65" s="20" t="s">
        <v>49</v>
      </c>
      <c r="N65" s="20" t="s">
        <v>50</v>
      </c>
      <c r="O65" s="21" t="s">
        <v>96</v>
      </c>
      <c r="P65" s="21" t="s">
        <v>97</v>
      </c>
      <c r="Q65" s="20" t="s">
        <v>53</v>
      </c>
      <c r="R65" s="21" t="s">
        <v>1117</v>
      </c>
    </row>
    <row r="66" spans="1:18" s="21" customFormat="1" x14ac:dyDescent="0.35">
      <c r="A66" s="21">
        <f>IF(D66="","",ROW()-1)</f>
        <v>65</v>
      </c>
      <c r="B66" s="21" t="s">
        <v>35</v>
      </c>
      <c r="C66" s="21" t="s">
        <v>1351</v>
      </c>
      <c r="D66" s="7" t="s">
        <v>31</v>
      </c>
      <c r="E66" s="21" t="s">
        <v>98</v>
      </c>
      <c r="F66" s="21" t="s">
        <v>99</v>
      </c>
      <c r="G66" s="21" t="s">
        <v>100</v>
      </c>
      <c r="H66" s="20" t="s">
        <v>101</v>
      </c>
      <c r="I66" s="20" t="s">
        <v>102</v>
      </c>
      <c r="J66" s="21">
        <v>18</v>
      </c>
      <c r="K66" s="21">
        <v>10</v>
      </c>
      <c r="L66" s="34">
        <v>150</v>
      </c>
      <c r="M66" s="20" t="s">
        <v>49</v>
      </c>
      <c r="N66" s="20" t="s">
        <v>50</v>
      </c>
      <c r="O66" s="21" t="s">
        <v>103</v>
      </c>
      <c r="P66" s="21" t="s">
        <v>104</v>
      </c>
      <c r="Q66" s="20" t="s">
        <v>53</v>
      </c>
      <c r="R66" s="21" t="s">
        <v>1117</v>
      </c>
    </row>
    <row r="67" spans="1:18" s="21" customFormat="1" x14ac:dyDescent="0.35">
      <c r="A67" s="21">
        <f>IF(D67="","",ROW()-1)</f>
        <v>66</v>
      </c>
      <c r="B67" s="21" t="s">
        <v>35</v>
      </c>
      <c r="C67" s="21" t="s">
        <v>1351</v>
      </c>
      <c r="D67" s="7" t="s">
        <v>31</v>
      </c>
      <c r="E67" s="21" t="s">
        <v>98</v>
      </c>
      <c r="F67" s="21" t="s">
        <v>105</v>
      </c>
      <c r="G67" s="21" t="s">
        <v>106</v>
      </c>
      <c r="H67" s="20" t="s">
        <v>107</v>
      </c>
      <c r="I67" s="20" t="s">
        <v>102</v>
      </c>
      <c r="J67" s="21">
        <v>22</v>
      </c>
      <c r="K67" s="21">
        <v>10</v>
      </c>
      <c r="L67" s="34">
        <v>150</v>
      </c>
      <c r="M67" s="20" t="s">
        <v>49</v>
      </c>
      <c r="N67" s="20" t="s">
        <v>50</v>
      </c>
      <c r="O67" s="21" t="s">
        <v>108</v>
      </c>
      <c r="P67" s="21" t="s">
        <v>109</v>
      </c>
      <c r="Q67" s="20" t="s">
        <v>53</v>
      </c>
      <c r="R67" s="21" t="s">
        <v>1117</v>
      </c>
    </row>
    <row r="68" spans="1:18" s="21" customFormat="1" x14ac:dyDescent="0.35">
      <c r="A68" s="21">
        <f>IF(D68="","",ROW()-1)</f>
        <v>67</v>
      </c>
      <c r="B68" s="21" t="s">
        <v>35</v>
      </c>
      <c r="C68" s="21" t="s">
        <v>1351</v>
      </c>
      <c r="D68" s="7" t="s">
        <v>31</v>
      </c>
      <c r="E68" s="21" t="s">
        <v>98</v>
      </c>
      <c r="F68" s="21" t="s">
        <v>110</v>
      </c>
      <c r="G68" s="21" t="s">
        <v>111</v>
      </c>
      <c r="H68" s="20" t="s">
        <v>112</v>
      </c>
      <c r="I68" s="20" t="s">
        <v>102</v>
      </c>
      <c r="J68" s="21">
        <v>24</v>
      </c>
      <c r="K68" s="21">
        <v>7</v>
      </c>
      <c r="L68" s="34">
        <v>105</v>
      </c>
      <c r="M68" s="20" t="s">
        <v>49</v>
      </c>
      <c r="N68" s="20" t="s">
        <v>50</v>
      </c>
      <c r="O68" s="21" t="s">
        <v>113</v>
      </c>
      <c r="P68" s="21" t="s">
        <v>114</v>
      </c>
      <c r="Q68" s="20" t="s">
        <v>53</v>
      </c>
      <c r="R68" s="21" t="s">
        <v>1117</v>
      </c>
    </row>
    <row r="69" spans="1:18" s="21" customFormat="1" x14ac:dyDescent="0.35">
      <c r="A69" s="21">
        <f>IF(D69="","",ROW()-1)</f>
        <v>68</v>
      </c>
      <c r="B69" s="21" t="s">
        <v>35</v>
      </c>
      <c r="C69" s="21" t="s">
        <v>1351</v>
      </c>
      <c r="D69" s="7" t="s">
        <v>31</v>
      </c>
      <c r="E69" s="21" t="s">
        <v>98</v>
      </c>
      <c r="F69" s="21" t="s">
        <v>115</v>
      </c>
      <c r="G69" s="21" t="s">
        <v>116</v>
      </c>
      <c r="H69" s="20" t="s">
        <v>117</v>
      </c>
      <c r="I69" s="20" t="s">
        <v>102</v>
      </c>
      <c r="J69" s="21">
        <v>30</v>
      </c>
      <c r="K69" s="21">
        <v>10</v>
      </c>
      <c r="L69" s="34">
        <v>150</v>
      </c>
      <c r="M69" s="20" t="s">
        <v>49</v>
      </c>
      <c r="N69" s="20" t="s">
        <v>50</v>
      </c>
      <c r="O69" s="21" t="s">
        <v>118</v>
      </c>
      <c r="P69" s="21" t="s">
        <v>119</v>
      </c>
      <c r="Q69" s="20" t="s">
        <v>53</v>
      </c>
      <c r="R69" s="21" t="s">
        <v>1117</v>
      </c>
    </row>
    <row r="70" spans="1:18" s="21" customFormat="1" x14ac:dyDescent="0.35">
      <c r="A70" s="21">
        <f>IF(D70="","",ROW()-1)</f>
        <v>69</v>
      </c>
      <c r="B70" s="21" t="s">
        <v>35</v>
      </c>
      <c r="C70" s="21" t="s">
        <v>1351</v>
      </c>
      <c r="D70" s="7" t="s">
        <v>31</v>
      </c>
      <c r="E70" s="21" t="s">
        <v>98</v>
      </c>
      <c r="F70" s="21" t="s">
        <v>120</v>
      </c>
      <c r="G70" s="21" t="s">
        <v>121</v>
      </c>
      <c r="H70" s="20" t="s">
        <v>122</v>
      </c>
      <c r="I70" s="20" t="s">
        <v>102</v>
      </c>
      <c r="J70" s="21">
        <v>31</v>
      </c>
      <c r="K70" s="21">
        <v>5</v>
      </c>
      <c r="L70" s="34">
        <v>75</v>
      </c>
      <c r="M70" s="20" t="s">
        <v>49</v>
      </c>
      <c r="N70" s="20" t="s">
        <v>50</v>
      </c>
      <c r="O70" s="21" t="s">
        <v>123</v>
      </c>
      <c r="P70" s="21" t="s">
        <v>124</v>
      </c>
      <c r="Q70" s="20" t="s">
        <v>53</v>
      </c>
      <c r="R70" s="21" t="s">
        <v>1117</v>
      </c>
    </row>
    <row r="71" spans="1:18" s="21" customFormat="1" x14ac:dyDescent="0.35">
      <c r="A71" s="21">
        <f>IF(D71="","",ROW()-1)</f>
        <v>70</v>
      </c>
      <c r="B71" s="21" t="s">
        <v>35</v>
      </c>
      <c r="C71" s="21" t="s">
        <v>1351</v>
      </c>
      <c r="D71" s="7" t="s">
        <v>31</v>
      </c>
      <c r="E71" s="21" t="s">
        <v>125</v>
      </c>
      <c r="F71" s="21" t="s">
        <v>126</v>
      </c>
      <c r="G71" s="21" t="s">
        <v>127</v>
      </c>
      <c r="H71" s="20" t="s">
        <v>128</v>
      </c>
      <c r="I71" s="20" t="s">
        <v>129</v>
      </c>
      <c r="J71" s="21">
        <v>30</v>
      </c>
      <c r="K71" s="21">
        <v>10</v>
      </c>
      <c r="L71" s="34">
        <v>150</v>
      </c>
      <c r="M71" s="20" t="s">
        <v>49</v>
      </c>
      <c r="N71" s="20" t="s">
        <v>50</v>
      </c>
      <c r="O71" s="21" t="s">
        <v>130</v>
      </c>
      <c r="P71" s="21" t="s">
        <v>131</v>
      </c>
      <c r="Q71" s="20" t="s">
        <v>53</v>
      </c>
      <c r="R71" s="21" t="s">
        <v>1117</v>
      </c>
    </row>
    <row r="72" spans="1:18" s="21" customFormat="1" x14ac:dyDescent="0.35">
      <c r="A72" s="21">
        <f>IF(D72="","",ROW()-1)</f>
        <v>71</v>
      </c>
      <c r="B72" s="21" t="s">
        <v>35</v>
      </c>
      <c r="C72" s="21" t="s">
        <v>1351</v>
      </c>
      <c r="D72" s="7" t="s">
        <v>31</v>
      </c>
      <c r="E72" s="21" t="s">
        <v>125</v>
      </c>
      <c r="F72" s="21" t="s">
        <v>132</v>
      </c>
      <c r="G72" s="21" t="s">
        <v>133</v>
      </c>
      <c r="H72" s="20" t="s">
        <v>134</v>
      </c>
      <c r="I72" s="20" t="s">
        <v>135</v>
      </c>
      <c r="J72" s="21">
        <v>32</v>
      </c>
      <c r="K72" s="21">
        <v>10</v>
      </c>
      <c r="L72" s="34">
        <v>150</v>
      </c>
      <c r="M72" s="20" t="s">
        <v>49</v>
      </c>
      <c r="N72" s="20" t="s">
        <v>50</v>
      </c>
      <c r="O72" s="21" t="s">
        <v>136</v>
      </c>
      <c r="P72" s="21" t="s">
        <v>137</v>
      </c>
      <c r="Q72" s="20" t="s">
        <v>53</v>
      </c>
      <c r="R72" s="21" t="s">
        <v>1117</v>
      </c>
    </row>
    <row r="73" spans="1:18" s="21" customFormat="1" x14ac:dyDescent="0.35">
      <c r="A73" s="21">
        <f>IF(D73="","",ROW()-1)</f>
        <v>72</v>
      </c>
      <c r="B73" s="21" t="s">
        <v>35</v>
      </c>
      <c r="C73" s="21" t="s">
        <v>1351</v>
      </c>
      <c r="D73" s="7" t="s">
        <v>31</v>
      </c>
      <c r="E73" s="21" t="s">
        <v>125</v>
      </c>
      <c r="F73" s="21" t="s">
        <v>138</v>
      </c>
      <c r="G73" s="21" t="s">
        <v>139</v>
      </c>
      <c r="H73" s="20" t="s">
        <v>140</v>
      </c>
      <c r="I73" s="20" t="s">
        <v>141</v>
      </c>
      <c r="J73" s="21">
        <v>20</v>
      </c>
      <c r="K73" s="21">
        <v>10</v>
      </c>
      <c r="L73" s="34">
        <v>150</v>
      </c>
      <c r="M73" s="20" t="s">
        <v>49</v>
      </c>
      <c r="N73" s="20" t="s">
        <v>50</v>
      </c>
      <c r="O73" s="21" t="s">
        <v>142</v>
      </c>
      <c r="P73" s="21" t="s">
        <v>143</v>
      </c>
      <c r="Q73" s="20" t="s">
        <v>53</v>
      </c>
      <c r="R73" s="21" t="s">
        <v>1117</v>
      </c>
    </row>
    <row r="74" spans="1:18" s="21" customFormat="1" x14ac:dyDescent="0.35">
      <c r="A74" s="21">
        <f>IF(D74="","",ROW()-1)</f>
        <v>73</v>
      </c>
      <c r="B74" s="21" t="s">
        <v>35</v>
      </c>
      <c r="C74" s="21" t="s">
        <v>1351</v>
      </c>
      <c r="D74" s="7" t="s">
        <v>31</v>
      </c>
      <c r="E74" s="21" t="s">
        <v>125</v>
      </c>
      <c r="F74" s="21" t="s">
        <v>144</v>
      </c>
      <c r="G74" s="21" t="s">
        <v>145</v>
      </c>
      <c r="H74" s="20" t="s">
        <v>146</v>
      </c>
      <c r="I74" s="20" t="s">
        <v>147</v>
      </c>
      <c r="J74" s="21">
        <v>26</v>
      </c>
      <c r="K74" s="21">
        <v>10</v>
      </c>
      <c r="L74" s="34">
        <v>150</v>
      </c>
      <c r="M74" s="20" t="s">
        <v>49</v>
      </c>
      <c r="N74" s="20" t="s">
        <v>50</v>
      </c>
      <c r="O74" s="21" t="s">
        <v>148</v>
      </c>
      <c r="P74" s="21" t="s">
        <v>149</v>
      </c>
      <c r="Q74" s="20" t="s">
        <v>53</v>
      </c>
      <c r="R74" s="21" t="s">
        <v>1117</v>
      </c>
    </row>
    <row r="75" spans="1:18" s="21" customFormat="1" x14ac:dyDescent="0.35">
      <c r="A75" s="21">
        <f>IF(D75="","",ROW()-1)</f>
        <v>74</v>
      </c>
      <c r="B75" s="21" t="s">
        <v>35</v>
      </c>
      <c r="C75" s="21" t="s">
        <v>1351</v>
      </c>
      <c r="D75" s="7" t="s">
        <v>31</v>
      </c>
      <c r="E75" s="21" t="s">
        <v>150</v>
      </c>
      <c r="F75" s="21" t="s">
        <v>151</v>
      </c>
      <c r="G75" s="21" t="s">
        <v>152</v>
      </c>
      <c r="H75" s="20" t="s">
        <v>153</v>
      </c>
      <c r="I75" s="20" t="s">
        <v>154</v>
      </c>
      <c r="J75" s="21">
        <v>24</v>
      </c>
      <c r="K75" s="21">
        <v>7</v>
      </c>
      <c r="L75" s="34">
        <v>105</v>
      </c>
      <c r="M75" s="20" t="s">
        <v>49</v>
      </c>
      <c r="N75" s="20" t="s">
        <v>50</v>
      </c>
      <c r="O75" s="21" t="s">
        <v>155</v>
      </c>
      <c r="P75" s="21" t="s">
        <v>156</v>
      </c>
      <c r="Q75" s="20" t="s">
        <v>53</v>
      </c>
      <c r="R75" s="21" t="s">
        <v>1117</v>
      </c>
    </row>
    <row r="76" spans="1:18" s="21" customFormat="1" x14ac:dyDescent="0.35">
      <c r="A76" s="21">
        <f>IF(D76="","",ROW()-1)</f>
        <v>75</v>
      </c>
      <c r="B76" s="21" t="s">
        <v>35</v>
      </c>
      <c r="C76" s="21" t="s">
        <v>1351</v>
      </c>
      <c r="D76" s="7" t="s">
        <v>31</v>
      </c>
      <c r="E76" s="21" t="s">
        <v>157</v>
      </c>
      <c r="F76" s="21" t="s">
        <v>158</v>
      </c>
      <c r="G76" s="21" t="s">
        <v>159</v>
      </c>
      <c r="H76" s="20" t="s">
        <v>160</v>
      </c>
      <c r="I76" s="20" t="s">
        <v>161</v>
      </c>
      <c r="J76" s="21">
        <v>28</v>
      </c>
      <c r="K76" s="21">
        <v>10</v>
      </c>
      <c r="L76" s="34">
        <v>150</v>
      </c>
      <c r="M76" s="20" t="s">
        <v>49</v>
      </c>
      <c r="N76" s="20" t="s">
        <v>50</v>
      </c>
      <c r="O76" s="21" t="s">
        <v>162</v>
      </c>
      <c r="P76" s="21" t="s">
        <v>163</v>
      </c>
      <c r="Q76" s="20" t="s">
        <v>53</v>
      </c>
      <c r="R76" s="21" t="s">
        <v>1117</v>
      </c>
    </row>
    <row r="77" spans="1:18" s="21" customFormat="1" x14ac:dyDescent="0.35">
      <c r="A77" s="21">
        <f>IF(D77="","",ROW()-1)</f>
        <v>76</v>
      </c>
      <c r="B77" s="21" t="s">
        <v>35</v>
      </c>
      <c r="C77" s="21" t="s">
        <v>1351</v>
      </c>
      <c r="D77" s="7" t="s">
        <v>31</v>
      </c>
      <c r="E77" s="21" t="s">
        <v>157</v>
      </c>
      <c r="F77" s="21" t="s">
        <v>164</v>
      </c>
      <c r="G77" s="21" t="s">
        <v>165</v>
      </c>
      <c r="H77" s="20" t="s">
        <v>166</v>
      </c>
      <c r="I77" s="20" t="s">
        <v>167</v>
      </c>
      <c r="J77" s="21">
        <v>24</v>
      </c>
      <c r="K77" s="21">
        <v>10</v>
      </c>
      <c r="L77" s="34">
        <v>150</v>
      </c>
      <c r="M77" s="20" t="s">
        <v>49</v>
      </c>
      <c r="N77" s="20" t="s">
        <v>50</v>
      </c>
      <c r="O77" s="21" t="s">
        <v>168</v>
      </c>
      <c r="P77" s="21" t="s">
        <v>169</v>
      </c>
      <c r="Q77" s="20" t="s">
        <v>53</v>
      </c>
      <c r="R77" s="21" t="s">
        <v>1117</v>
      </c>
    </row>
    <row r="78" spans="1:18" s="21" customFormat="1" x14ac:dyDescent="0.35">
      <c r="A78" s="21">
        <f>IF(D78="","",ROW()-1)</f>
        <v>77</v>
      </c>
      <c r="B78" s="21" t="s">
        <v>35</v>
      </c>
      <c r="C78" s="21" t="s">
        <v>1351</v>
      </c>
      <c r="D78" s="7" t="s">
        <v>31</v>
      </c>
      <c r="E78" s="21" t="s">
        <v>157</v>
      </c>
      <c r="F78" s="21" t="s">
        <v>80</v>
      </c>
      <c r="G78" s="21" t="s">
        <v>170</v>
      </c>
      <c r="H78" s="20" t="s">
        <v>171</v>
      </c>
      <c r="I78" s="20" t="s">
        <v>172</v>
      </c>
      <c r="J78" s="21">
        <v>31</v>
      </c>
      <c r="K78" s="21">
        <v>10</v>
      </c>
      <c r="L78" s="34">
        <v>150</v>
      </c>
      <c r="M78" s="20" t="s">
        <v>49</v>
      </c>
      <c r="N78" s="20" t="s">
        <v>50</v>
      </c>
      <c r="O78" s="21" t="s">
        <v>173</v>
      </c>
      <c r="P78" s="21" t="s">
        <v>174</v>
      </c>
      <c r="Q78" s="20" t="s">
        <v>53</v>
      </c>
      <c r="R78" s="21" t="s">
        <v>1117</v>
      </c>
    </row>
    <row r="79" spans="1:18" s="21" customFormat="1" x14ac:dyDescent="0.35">
      <c r="A79" s="21">
        <f>IF(D79="","",ROW()-1)</f>
        <v>78</v>
      </c>
      <c r="B79" s="21" t="s">
        <v>35</v>
      </c>
      <c r="C79" s="21" t="s">
        <v>1351</v>
      </c>
      <c r="D79" s="7" t="s">
        <v>31</v>
      </c>
      <c r="E79" s="21" t="s">
        <v>175</v>
      </c>
      <c r="F79" s="21" t="s">
        <v>176</v>
      </c>
      <c r="G79" s="21" t="s">
        <v>177</v>
      </c>
      <c r="H79" s="20" t="s">
        <v>178</v>
      </c>
      <c r="I79" s="20" t="s">
        <v>179</v>
      </c>
      <c r="J79" s="21">
        <v>30</v>
      </c>
      <c r="K79" s="21">
        <v>10</v>
      </c>
      <c r="L79" s="34">
        <v>150</v>
      </c>
      <c r="M79" s="20" t="s">
        <v>49</v>
      </c>
      <c r="N79" s="20" t="s">
        <v>50</v>
      </c>
      <c r="O79" s="21" t="s">
        <v>180</v>
      </c>
      <c r="P79" s="21" t="s">
        <v>181</v>
      </c>
      <c r="Q79" s="20" t="s">
        <v>53</v>
      </c>
      <c r="R79" s="21" t="s">
        <v>1117</v>
      </c>
    </row>
    <row r="80" spans="1:18" s="21" customFormat="1" x14ac:dyDescent="0.35">
      <c r="A80" s="21">
        <f>IF(D80="","",ROW()-1)</f>
        <v>79</v>
      </c>
      <c r="B80" s="21" t="s">
        <v>35</v>
      </c>
      <c r="C80" s="21" t="s">
        <v>1351</v>
      </c>
      <c r="D80" s="7" t="s">
        <v>31</v>
      </c>
      <c r="E80" s="21" t="s">
        <v>175</v>
      </c>
      <c r="F80" s="21" t="s">
        <v>182</v>
      </c>
      <c r="G80" s="21" t="s">
        <v>183</v>
      </c>
      <c r="H80" s="20" t="s">
        <v>184</v>
      </c>
      <c r="I80" s="20" t="s">
        <v>185</v>
      </c>
      <c r="J80" s="21">
        <v>32</v>
      </c>
      <c r="K80" s="21">
        <v>10</v>
      </c>
      <c r="L80" s="34">
        <v>150</v>
      </c>
      <c r="M80" s="20" t="s">
        <v>49</v>
      </c>
      <c r="N80" s="20" t="s">
        <v>50</v>
      </c>
      <c r="O80" s="21" t="s">
        <v>186</v>
      </c>
      <c r="P80" s="21" t="s">
        <v>187</v>
      </c>
      <c r="Q80" s="20" t="s">
        <v>53</v>
      </c>
      <c r="R80" s="21" t="s">
        <v>1117</v>
      </c>
    </row>
    <row r="81" spans="1:18" s="21" customFormat="1" x14ac:dyDescent="0.35">
      <c r="A81" s="21">
        <f>IF(D81="","",ROW()-1)</f>
        <v>80</v>
      </c>
      <c r="B81" s="21" t="s">
        <v>35</v>
      </c>
      <c r="C81" s="21" t="s">
        <v>1351</v>
      </c>
      <c r="D81" s="7" t="s">
        <v>31</v>
      </c>
      <c r="E81" s="21" t="s">
        <v>175</v>
      </c>
      <c r="F81" s="21" t="s">
        <v>188</v>
      </c>
      <c r="G81" s="21" t="s">
        <v>189</v>
      </c>
      <c r="H81" s="20" t="s">
        <v>190</v>
      </c>
      <c r="I81" s="20" t="s">
        <v>191</v>
      </c>
      <c r="J81" s="21">
        <v>25</v>
      </c>
      <c r="K81" s="21">
        <v>10</v>
      </c>
      <c r="L81" s="34">
        <v>150</v>
      </c>
      <c r="M81" s="20" t="s">
        <v>49</v>
      </c>
      <c r="N81" s="20" t="s">
        <v>50</v>
      </c>
      <c r="O81" s="21" t="s">
        <v>192</v>
      </c>
      <c r="P81" s="21" t="s">
        <v>193</v>
      </c>
      <c r="Q81" s="20" t="s">
        <v>53</v>
      </c>
      <c r="R81" s="21" t="s">
        <v>1117</v>
      </c>
    </row>
    <row r="82" spans="1:18" s="21" customFormat="1" x14ac:dyDescent="0.35">
      <c r="A82" s="21">
        <f>IF(D82="","",ROW()-1)</f>
        <v>81</v>
      </c>
      <c r="B82" s="21" t="s">
        <v>35</v>
      </c>
      <c r="C82" s="21" t="s">
        <v>1351</v>
      </c>
      <c r="D82" s="7" t="s">
        <v>31</v>
      </c>
      <c r="E82" s="21" t="s">
        <v>194</v>
      </c>
      <c r="F82" s="21" t="s">
        <v>195</v>
      </c>
      <c r="G82" s="21" t="s">
        <v>196</v>
      </c>
      <c r="H82" s="20" t="s">
        <v>197</v>
      </c>
      <c r="I82" s="20" t="s">
        <v>198</v>
      </c>
      <c r="J82" s="21">
        <v>25</v>
      </c>
      <c r="K82" s="21">
        <v>8</v>
      </c>
      <c r="L82" s="34">
        <v>120</v>
      </c>
      <c r="M82" s="20" t="s">
        <v>49</v>
      </c>
      <c r="N82" s="20" t="s">
        <v>50</v>
      </c>
      <c r="O82" s="21" t="s">
        <v>199</v>
      </c>
      <c r="P82" s="21" t="s">
        <v>200</v>
      </c>
      <c r="Q82" s="20" t="s">
        <v>53</v>
      </c>
      <c r="R82" s="21" t="s">
        <v>1117</v>
      </c>
    </row>
    <row r="83" spans="1:18" s="21" customFormat="1" x14ac:dyDescent="0.35">
      <c r="A83" s="21">
        <f>IF(D83="","",ROW()-1)</f>
        <v>82</v>
      </c>
      <c r="B83" s="21" t="s">
        <v>35</v>
      </c>
      <c r="C83" s="21" t="s">
        <v>1351</v>
      </c>
      <c r="D83" s="21" t="s">
        <v>26</v>
      </c>
      <c r="E83" s="21" t="s">
        <v>201</v>
      </c>
      <c r="F83" s="21" t="s">
        <v>202</v>
      </c>
      <c r="G83" s="21" t="s">
        <v>203</v>
      </c>
      <c r="H83" s="20" t="s">
        <v>204</v>
      </c>
      <c r="I83" s="20" t="s">
        <v>205</v>
      </c>
      <c r="J83" s="21">
        <v>15</v>
      </c>
      <c r="K83" s="21">
        <v>2</v>
      </c>
      <c r="L83" s="34">
        <v>30</v>
      </c>
      <c r="M83" s="20" t="s">
        <v>49</v>
      </c>
      <c r="N83" s="20" t="s">
        <v>50</v>
      </c>
      <c r="O83" s="21" t="s">
        <v>206</v>
      </c>
      <c r="P83" s="21" t="s">
        <v>207</v>
      </c>
      <c r="Q83" s="20" t="s">
        <v>53</v>
      </c>
      <c r="R83" s="21" t="s">
        <v>1117</v>
      </c>
    </row>
    <row r="84" spans="1:18" s="21" customFormat="1" x14ac:dyDescent="0.35">
      <c r="A84" s="21">
        <f>IF(D84="","",ROW()-1)</f>
        <v>83</v>
      </c>
      <c r="B84" s="21" t="s">
        <v>35</v>
      </c>
      <c r="C84" s="21" t="s">
        <v>1351</v>
      </c>
      <c r="D84" s="21" t="s">
        <v>26</v>
      </c>
      <c r="E84" s="21" t="s">
        <v>201</v>
      </c>
      <c r="F84" s="21" t="s">
        <v>208</v>
      </c>
      <c r="G84" s="21" t="s">
        <v>209</v>
      </c>
      <c r="H84" s="20" t="s">
        <v>210</v>
      </c>
      <c r="I84" s="20" t="s">
        <v>211</v>
      </c>
      <c r="J84" s="21">
        <v>15</v>
      </c>
      <c r="K84" s="21">
        <v>3</v>
      </c>
      <c r="L84" s="34">
        <v>45</v>
      </c>
      <c r="M84" s="20" t="s">
        <v>49</v>
      </c>
      <c r="N84" s="20" t="s">
        <v>50</v>
      </c>
      <c r="O84" s="21" t="s">
        <v>212</v>
      </c>
      <c r="P84" s="21" t="s">
        <v>213</v>
      </c>
      <c r="Q84" s="20" t="s">
        <v>53</v>
      </c>
      <c r="R84" s="21" t="s">
        <v>1117</v>
      </c>
    </row>
    <row r="85" spans="1:18" s="21" customFormat="1" x14ac:dyDescent="0.35">
      <c r="A85" s="21">
        <f>IF(D85="","",ROW()-1)</f>
        <v>84</v>
      </c>
      <c r="B85" s="21" t="s">
        <v>35</v>
      </c>
      <c r="C85" s="21" t="s">
        <v>1351</v>
      </c>
      <c r="D85" s="21" t="s">
        <v>26</v>
      </c>
      <c r="E85" s="21" t="s">
        <v>201</v>
      </c>
      <c r="F85" s="21" t="s">
        <v>214</v>
      </c>
      <c r="G85" s="21" t="s">
        <v>215</v>
      </c>
      <c r="H85" s="20" t="s">
        <v>216</v>
      </c>
      <c r="I85" s="20" t="s">
        <v>217</v>
      </c>
      <c r="J85" s="21">
        <v>15</v>
      </c>
      <c r="K85" s="21">
        <v>1</v>
      </c>
      <c r="L85" s="34">
        <v>15</v>
      </c>
      <c r="M85" s="20" t="s">
        <v>49</v>
      </c>
      <c r="N85" s="20" t="s">
        <v>50</v>
      </c>
      <c r="O85" s="21" t="s">
        <v>218</v>
      </c>
      <c r="P85" s="21" t="s">
        <v>219</v>
      </c>
      <c r="Q85" s="20" t="s">
        <v>53</v>
      </c>
      <c r="R85" s="21" t="s">
        <v>1117</v>
      </c>
    </row>
    <row r="86" spans="1:18" s="21" customFormat="1" x14ac:dyDescent="0.35">
      <c r="A86" s="21">
        <f>IF(D86="","",ROW()-1)</f>
        <v>85</v>
      </c>
      <c r="B86" s="21" t="s">
        <v>35</v>
      </c>
      <c r="C86" s="21" t="s">
        <v>1351</v>
      </c>
      <c r="D86" s="21" t="s">
        <v>26</v>
      </c>
      <c r="E86" s="21" t="s">
        <v>220</v>
      </c>
      <c r="F86" s="21" t="s">
        <v>221</v>
      </c>
      <c r="G86" s="21" t="s">
        <v>222</v>
      </c>
      <c r="H86" s="20" t="s">
        <v>223</v>
      </c>
      <c r="I86" s="20" t="s">
        <v>224</v>
      </c>
      <c r="J86" s="21">
        <v>15</v>
      </c>
      <c r="K86" s="21">
        <v>1</v>
      </c>
      <c r="L86" s="34">
        <v>15</v>
      </c>
      <c r="M86" s="20" t="s">
        <v>49</v>
      </c>
      <c r="N86" s="20" t="s">
        <v>50</v>
      </c>
      <c r="O86" s="21" t="s">
        <v>225</v>
      </c>
      <c r="P86" s="21" t="s">
        <v>226</v>
      </c>
      <c r="Q86" s="20" t="s">
        <v>53</v>
      </c>
      <c r="R86" s="21" t="s">
        <v>1117</v>
      </c>
    </row>
    <row r="87" spans="1:18" s="21" customFormat="1" x14ac:dyDescent="0.35">
      <c r="A87" s="21">
        <f>IF(D87="","",ROW()-1)</f>
        <v>86</v>
      </c>
      <c r="B87" s="21" t="s">
        <v>35</v>
      </c>
      <c r="C87" s="21" t="s">
        <v>1351</v>
      </c>
      <c r="D87" s="21" t="s">
        <v>26</v>
      </c>
      <c r="E87" s="21" t="s">
        <v>227</v>
      </c>
      <c r="F87" s="21" t="s">
        <v>228</v>
      </c>
      <c r="G87" s="21" t="s">
        <v>229</v>
      </c>
      <c r="H87" s="20" t="s">
        <v>230</v>
      </c>
      <c r="I87" s="20" t="s">
        <v>231</v>
      </c>
      <c r="J87" s="21">
        <v>15</v>
      </c>
      <c r="K87" s="21">
        <v>1</v>
      </c>
      <c r="L87" s="34">
        <v>15</v>
      </c>
      <c r="M87" s="20" t="s">
        <v>49</v>
      </c>
      <c r="N87" s="20" t="s">
        <v>50</v>
      </c>
      <c r="O87" s="21" t="s">
        <v>232</v>
      </c>
      <c r="P87" s="21" t="s">
        <v>233</v>
      </c>
      <c r="Q87" s="20" t="s">
        <v>53</v>
      </c>
      <c r="R87" s="21" t="s">
        <v>1117</v>
      </c>
    </row>
    <row r="88" spans="1:18" s="21" customFormat="1" x14ac:dyDescent="0.35">
      <c r="A88" s="21">
        <f>IF(D88="","",ROW()-1)</f>
        <v>87</v>
      </c>
      <c r="B88" s="21" t="s">
        <v>35</v>
      </c>
      <c r="C88" s="21" t="s">
        <v>1351</v>
      </c>
      <c r="D88" s="21" t="s">
        <v>26</v>
      </c>
      <c r="E88" s="21" t="s">
        <v>234</v>
      </c>
      <c r="F88" s="21" t="s">
        <v>235</v>
      </c>
      <c r="G88" s="21" t="s">
        <v>236</v>
      </c>
      <c r="H88" s="20" t="s">
        <v>237</v>
      </c>
      <c r="I88" s="20" t="s">
        <v>238</v>
      </c>
      <c r="J88" s="21">
        <v>15</v>
      </c>
      <c r="K88" s="21">
        <v>1</v>
      </c>
      <c r="L88" s="34">
        <v>15</v>
      </c>
      <c r="M88" s="20" t="s">
        <v>49</v>
      </c>
      <c r="N88" s="20" t="s">
        <v>50</v>
      </c>
      <c r="O88" s="21" t="s">
        <v>239</v>
      </c>
      <c r="P88" s="21" t="s">
        <v>240</v>
      </c>
      <c r="Q88" s="20" t="s">
        <v>53</v>
      </c>
      <c r="R88" s="21" t="s">
        <v>1117</v>
      </c>
    </row>
    <row r="89" spans="1:18" s="21" customFormat="1" x14ac:dyDescent="0.35">
      <c r="A89" s="21">
        <f>IF(D89="","",ROW()-1)</f>
        <v>88</v>
      </c>
      <c r="B89" s="21" t="s">
        <v>35</v>
      </c>
      <c r="C89" s="21" t="s">
        <v>1351</v>
      </c>
      <c r="D89" s="21" t="s">
        <v>26</v>
      </c>
      <c r="E89" s="21" t="s">
        <v>241</v>
      </c>
      <c r="F89" s="21" t="s">
        <v>242</v>
      </c>
      <c r="G89" s="21" t="s">
        <v>243</v>
      </c>
      <c r="H89" s="20" t="s">
        <v>244</v>
      </c>
      <c r="I89" s="20" t="s">
        <v>245</v>
      </c>
      <c r="J89" s="21">
        <v>15</v>
      </c>
      <c r="K89" s="21">
        <v>1</v>
      </c>
      <c r="L89" s="34">
        <v>15</v>
      </c>
      <c r="M89" s="20" t="s">
        <v>49</v>
      </c>
      <c r="N89" s="20" t="s">
        <v>50</v>
      </c>
      <c r="O89" s="21" t="s">
        <v>246</v>
      </c>
      <c r="P89" s="21" t="s">
        <v>247</v>
      </c>
      <c r="Q89" s="20" t="s">
        <v>53</v>
      </c>
      <c r="R89" s="21" t="s">
        <v>1117</v>
      </c>
    </row>
    <row r="90" spans="1:18" s="21" customFormat="1" x14ac:dyDescent="0.35">
      <c r="A90" s="21">
        <f>IF(D90="","",ROW()-1)</f>
        <v>89</v>
      </c>
      <c r="B90" s="21" t="s">
        <v>35</v>
      </c>
      <c r="C90" s="21" t="s">
        <v>1351</v>
      </c>
      <c r="D90" s="21" t="s">
        <v>26</v>
      </c>
      <c r="E90" s="21" t="s">
        <v>248</v>
      </c>
      <c r="F90" s="21" t="s">
        <v>249</v>
      </c>
      <c r="G90" s="21" t="s">
        <v>250</v>
      </c>
      <c r="H90" s="20" t="s">
        <v>251</v>
      </c>
      <c r="I90" s="20">
        <v>85267013757</v>
      </c>
      <c r="J90" s="21">
        <v>15</v>
      </c>
      <c r="K90" s="21">
        <v>1</v>
      </c>
      <c r="L90" s="34">
        <v>15</v>
      </c>
      <c r="M90" s="20" t="s">
        <v>49</v>
      </c>
      <c r="N90" s="20" t="s">
        <v>50</v>
      </c>
      <c r="O90" s="21" t="s">
        <v>252</v>
      </c>
      <c r="P90" s="21" t="s">
        <v>253</v>
      </c>
      <c r="Q90" s="20" t="s">
        <v>53</v>
      </c>
      <c r="R90" s="21" t="s">
        <v>1117</v>
      </c>
    </row>
    <row r="91" spans="1:18" s="21" customFormat="1" x14ac:dyDescent="0.35">
      <c r="A91" s="21">
        <f>IF(D91="","",ROW()-1)</f>
        <v>90</v>
      </c>
      <c r="B91" s="21" t="s">
        <v>35</v>
      </c>
      <c r="C91" s="21" t="s">
        <v>1351</v>
      </c>
      <c r="D91" s="21" t="s">
        <v>26</v>
      </c>
      <c r="E91" s="21" t="s">
        <v>254</v>
      </c>
      <c r="F91" s="21" t="s">
        <v>255</v>
      </c>
      <c r="G91" s="21" t="s">
        <v>256</v>
      </c>
      <c r="H91" s="20" t="s">
        <v>257</v>
      </c>
      <c r="I91" s="20" t="s">
        <v>258</v>
      </c>
      <c r="J91" s="21">
        <v>15</v>
      </c>
      <c r="K91" s="21">
        <v>1</v>
      </c>
      <c r="L91" s="34">
        <v>15</v>
      </c>
      <c r="M91" s="20" t="s">
        <v>49</v>
      </c>
      <c r="N91" s="20" t="s">
        <v>50</v>
      </c>
      <c r="O91" s="21" t="s">
        <v>259</v>
      </c>
      <c r="P91" s="21" t="s">
        <v>260</v>
      </c>
      <c r="Q91" s="20" t="s">
        <v>53</v>
      </c>
      <c r="R91" s="21" t="s">
        <v>1117</v>
      </c>
    </row>
    <row r="92" spans="1:18" s="21" customFormat="1" x14ac:dyDescent="0.35">
      <c r="A92" s="21">
        <f>IF(D92="","",ROW()-1)</f>
        <v>91</v>
      </c>
      <c r="B92" s="21" t="s">
        <v>35</v>
      </c>
      <c r="C92" s="21" t="s">
        <v>1351</v>
      </c>
      <c r="D92" s="21" t="s">
        <v>26</v>
      </c>
      <c r="E92" s="21" t="s">
        <v>261</v>
      </c>
      <c r="F92" s="21" t="s">
        <v>262</v>
      </c>
      <c r="G92" s="21" t="s">
        <v>263</v>
      </c>
      <c r="H92" s="20" t="s">
        <v>264</v>
      </c>
      <c r="I92" s="20">
        <v>813228902251</v>
      </c>
      <c r="J92" s="21">
        <v>30</v>
      </c>
      <c r="K92" s="21">
        <v>23</v>
      </c>
      <c r="L92" s="34">
        <v>345</v>
      </c>
      <c r="M92" s="20" t="s">
        <v>49</v>
      </c>
      <c r="N92" s="20" t="s">
        <v>50</v>
      </c>
      <c r="O92" s="21" t="s">
        <v>265</v>
      </c>
      <c r="P92" s="21" t="s">
        <v>266</v>
      </c>
      <c r="Q92" s="20" t="s">
        <v>53</v>
      </c>
      <c r="R92" s="21" t="s">
        <v>1117</v>
      </c>
    </row>
    <row r="93" spans="1:18" s="21" customFormat="1" x14ac:dyDescent="0.35">
      <c r="A93" s="21">
        <f>IF(D93="","",ROW()-1)</f>
        <v>92</v>
      </c>
      <c r="B93" s="21" t="s">
        <v>35</v>
      </c>
      <c r="C93" s="21" t="s">
        <v>1351</v>
      </c>
      <c r="D93" s="21" t="s">
        <v>26</v>
      </c>
      <c r="E93" s="21" t="s">
        <v>267</v>
      </c>
      <c r="F93" s="21" t="s">
        <v>268</v>
      </c>
      <c r="G93" s="21" t="s">
        <v>269</v>
      </c>
      <c r="H93" s="20" t="s">
        <v>270</v>
      </c>
      <c r="I93" s="20" t="s">
        <v>271</v>
      </c>
      <c r="J93" s="21">
        <v>35</v>
      </c>
      <c r="K93" s="21">
        <v>33</v>
      </c>
      <c r="L93" s="34">
        <v>495</v>
      </c>
      <c r="M93" s="20" t="s">
        <v>49</v>
      </c>
      <c r="N93" s="20" t="s">
        <v>50</v>
      </c>
      <c r="O93" s="21" t="s">
        <v>272</v>
      </c>
      <c r="P93" s="21" t="s">
        <v>273</v>
      </c>
      <c r="Q93" s="20" t="s">
        <v>53</v>
      </c>
      <c r="R93" s="21" t="s">
        <v>1117</v>
      </c>
    </row>
    <row r="94" spans="1:18" s="21" customFormat="1" x14ac:dyDescent="0.35">
      <c r="A94" s="21">
        <f>IF(D94="","",ROW()-1)</f>
        <v>93</v>
      </c>
      <c r="B94" s="21" t="s">
        <v>35</v>
      </c>
      <c r="C94" s="21" t="s">
        <v>1351</v>
      </c>
      <c r="D94" s="21" t="s">
        <v>26</v>
      </c>
      <c r="E94" s="21" t="s">
        <v>274</v>
      </c>
      <c r="F94" s="21" t="s">
        <v>275</v>
      </c>
      <c r="G94" s="21" t="s">
        <v>276</v>
      </c>
      <c r="H94" s="20" t="s">
        <v>277</v>
      </c>
      <c r="I94" s="20">
        <v>82294678430</v>
      </c>
      <c r="J94" s="21">
        <v>20</v>
      </c>
      <c r="K94" s="21">
        <v>1</v>
      </c>
      <c r="L94" s="34">
        <v>15</v>
      </c>
      <c r="M94" s="20" t="s">
        <v>49</v>
      </c>
      <c r="N94" s="20" t="s">
        <v>50</v>
      </c>
      <c r="O94" s="21" t="s">
        <v>278</v>
      </c>
      <c r="P94" s="21" t="s">
        <v>279</v>
      </c>
      <c r="Q94" s="20" t="s">
        <v>53</v>
      </c>
      <c r="R94" s="21" t="s">
        <v>1117</v>
      </c>
    </row>
    <row r="95" spans="1:18" s="21" customFormat="1" x14ac:dyDescent="0.35">
      <c r="A95" s="21">
        <f>IF(D95="","",ROW()-1)</f>
        <v>94</v>
      </c>
      <c r="B95" s="21" t="s">
        <v>35</v>
      </c>
      <c r="C95" s="21" t="s">
        <v>1351</v>
      </c>
      <c r="D95" s="21" t="s">
        <v>26</v>
      </c>
      <c r="E95" s="21" t="s">
        <v>274</v>
      </c>
      <c r="F95" s="21" t="s">
        <v>80</v>
      </c>
      <c r="G95" s="21" t="s">
        <v>280</v>
      </c>
      <c r="H95" s="20" t="s">
        <v>281</v>
      </c>
      <c r="I95" s="20">
        <v>81361437731</v>
      </c>
      <c r="J95" s="21">
        <v>20</v>
      </c>
      <c r="K95" s="21">
        <v>1</v>
      </c>
      <c r="L95" s="34">
        <v>15</v>
      </c>
      <c r="M95" s="20" t="s">
        <v>49</v>
      </c>
      <c r="N95" s="20" t="s">
        <v>50</v>
      </c>
      <c r="O95" s="21" t="s">
        <v>282</v>
      </c>
      <c r="P95" s="21" t="s">
        <v>283</v>
      </c>
      <c r="Q95" s="20" t="s">
        <v>53</v>
      </c>
      <c r="R95" s="21" t="s">
        <v>1117</v>
      </c>
    </row>
    <row r="96" spans="1:18" s="21" customFormat="1" x14ac:dyDescent="0.35">
      <c r="A96" s="21">
        <f>IF(D96="","",ROW()-1)</f>
        <v>95</v>
      </c>
      <c r="B96" s="21" t="s">
        <v>35</v>
      </c>
      <c r="C96" s="21" t="s">
        <v>1351</v>
      </c>
      <c r="D96" s="21" t="s">
        <v>26</v>
      </c>
      <c r="E96" s="21" t="s">
        <v>274</v>
      </c>
      <c r="F96" s="21" t="s">
        <v>284</v>
      </c>
      <c r="G96" s="21" t="s">
        <v>285</v>
      </c>
      <c r="H96" s="20" t="s">
        <v>286</v>
      </c>
      <c r="I96" s="20" t="s">
        <v>287</v>
      </c>
      <c r="J96" s="21">
        <v>20</v>
      </c>
      <c r="K96" s="21">
        <v>1</v>
      </c>
      <c r="L96" s="34">
        <v>15</v>
      </c>
      <c r="M96" s="20" t="s">
        <v>49</v>
      </c>
      <c r="N96" s="20" t="s">
        <v>50</v>
      </c>
      <c r="O96" s="21" t="s">
        <v>288</v>
      </c>
      <c r="P96" s="21" t="s">
        <v>289</v>
      </c>
      <c r="Q96" s="20" t="s">
        <v>53</v>
      </c>
      <c r="R96" s="21" t="s">
        <v>1117</v>
      </c>
    </row>
    <row r="97" spans="1:18" s="21" customFormat="1" x14ac:dyDescent="0.35">
      <c r="A97" s="21">
        <f>IF(D97="","",ROW()-1)</f>
        <v>96</v>
      </c>
      <c r="B97" s="21" t="s">
        <v>35</v>
      </c>
      <c r="C97" s="21" t="s">
        <v>1351</v>
      </c>
      <c r="D97" s="21" t="s">
        <v>26</v>
      </c>
      <c r="E97" s="21" t="s">
        <v>274</v>
      </c>
      <c r="F97" s="21" t="s">
        <v>290</v>
      </c>
      <c r="G97" s="21" t="s">
        <v>291</v>
      </c>
      <c r="H97" s="20" t="s">
        <v>292</v>
      </c>
      <c r="I97" s="20" t="s">
        <v>293</v>
      </c>
      <c r="J97" s="21">
        <v>20</v>
      </c>
      <c r="K97" s="21">
        <v>1</v>
      </c>
      <c r="L97" s="34">
        <v>15</v>
      </c>
      <c r="M97" s="20" t="s">
        <v>49</v>
      </c>
      <c r="N97" s="20" t="s">
        <v>50</v>
      </c>
      <c r="O97" s="21" t="s">
        <v>294</v>
      </c>
      <c r="P97" s="21" t="s">
        <v>295</v>
      </c>
      <c r="Q97" s="20" t="s">
        <v>53</v>
      </c>
      <c r="R97" s="21" t="s">
        <v>1117</v>
      </c>
    </row>
    <row r="98" spans="1:18" s="21" customFormat="1" x14ac:dyDescent="0.35">
      <c r="A98" s="21">
        <f>IF(D98="","",ROW()-1)</f>
        <v>97</v>
      </c>
      <c r="B98" s="21" t="s">
        <v>35</v>
      </c>
      <c r="C98" s="21" t="s">
        <v>1351</v>
      </c>
      <c r="D98" s="21" t="s">
        <v>26</v>
      </c>
      <c r="E98" s="21" t="s">
        <v>274</v>
      </c>
      <c r="F98" s="21" t="s">
        <v>249</v>
      </c>
      <c r="G98" s="21" t="s">
        <v>296</v>
      </c>
      <c r="H98" s="20" t="s">
        <v>297</v>
      </c>
      <c r="I98" s="20" t="s">
        <v>298</v>
      </c>
      <c r="J98" s="21">
        <v>20</v>
      </c>
      <c r="K98" s="21">
        <v>1</v>
      </c>
      <c r="L98" s="34">
        <v>15</v>
      </c>
      <c r="M98" s="20" t="s">
        <v>49</v>
      </c>
      <c r="N98" s="20" t="s">
        <v>50</v>
      </c>
      <c r="O98" s="21" t="s">
        <v>299</v>
      </c>
      <c r="P98" s="21" t="s">
        <v>300</v>
      </c>
      <c r="Q98" s="20" t="s">
        <v>53</v>
      </c>
      <c r="R98" s="21" t="s">
        <v>1117</v>
      </c>
    </row>
    <row r="99" spans="1:18" s="21" customFormat="1" x14ac:dyDescent="0.35">
      <c r="A99" s="21">
        <f>IF(D99="","",ROW()-1)</f>
        <v>98</v>
      </c>
      <c r="B99" s="21" t="s">
        <v>35</v>
      </c>
      <c r="C99" s="21" t="s">
        <v>1351</v>
      </c>
      <c r="D99" s="21" t="s">
        <v>26</v>
      </c>
      <c r="E99" s="21" t="s">
        <v>301</v>
      </c>
      <c r="F99" s="21" t="s">
        <v>176</v>
      </c>
      <c r="G99" s="21" t="s">
        <v>302</v>
      </c>
      <c r="H99" s="20" t="s">
        <v>303</v>
      </c>
      <c r="I99" s="20">
        <v>85270045893</v>
      </c>
      <c r="J99" s="21">
        <v>20</v>
      </c>
      <c r="K99" s="21">
        <v>6</v>
      </c>
      <c r="L99" s="34">
        <v>90</v>
      </c>
      <c r="M99" s="20" t="s">
        <v>49</v>
      </c>
      <c r="N99" s="20" t="s">
        <v>50</v>
      </c>
      <c r="O99" s="21" t="s">
        <v>304</v>
      </c>
      <c r="P99" s="21" t="s">
        <v>305</v>
      </c>
      <c r="Q99" s="20" t="s">
        <v>53</v>
      </c>
      <c r="R99" s="21" t="s">
        <v>1117</v>
      </c>
    </row>
    <row r="100" spans="1:18" s="21" customFormat="1" x14ac:dyDescent="0.35">
      <c r="A100" s="21">
        <f>IF(D100="","",ROW()-1)</f>
        <v>99</v>
      </c>
      <c r="B100" s="21" t="s">
        <v>35</v>
      </c>
      <c r="C100" s="21" t="s">
        <v>1351</v>
      </c>
      <c r="D100" s="21" t="s">
        <v>26</v>
      </c>
      <c r="E100" s="21" t="s">
        <v>301</v>
      </c>
      <c r="F100" s="21" t="s">
        <v>306</v>
      </c>
      <c r="G100" s="21" t="s">
        <v>307</v>
      </c>
      <c r="H100" s="20" t="s">
        <v>308</v>
      </c>
      <c r="I100" s="20">
        <v>81338614860</v>
      </c>
      <c r="J100" s="21">
        <v>20</v>
      </c>
      <c r="K100" s="21">
        <v>8</v>
      </c>
      <c r="L100" s="34">
        <v>120</v>
      </c>
      <c r="M100" s="20" t="s">
        <v>49</v>
      </c>
      <c r="N100" s="20" t="s">
        <v>50</v>
      </c>
      <c r="O100" s="21" t="s">
        <v>309</v>
      </c>
      <c r="P100" s="21" t="s">
        <v>310</v>
      </c>
      <c r="Q100" s="20" t="s">
        <v>53</v>
      </c>
      <c r="R100" s="21" t="s">
        <v>1117</v>
      </c>
    </row>
    <row r="101" spans="1:18" s="21" customFormat="1" x14ac:dyDescent="0.35">
      <c r="A101" s="21">
        <f>IF(D101="","",ROW()-1)</f>
        <v>100</v>
      </c>
      <c r="B101" s="21" t="s">
        <v>35</v>
      </c>
      <c r="C101" s="21" t="s">
        <v>1351</v>
      </c>
      <c r="D101" s="21" t="s">
        <v>26</v>
      </c>
      <c r="E101" s="21" t="s">
        <v>301</v>
      </c>
      <c r="F101" s="21" t="s">
        <v>311</v>
      </c>
      <c r="G101" s="21" t="s">
        <v>312</v>
      </c>
      <c r="H101" s="20" t="s">
        <v>313</v>
      </c>
      <c r="I101" s="20">
        <v>82231769050</v>
      </c>
      <c r="J101" s="21">
        <v>20</v>
      </c>
      <c r="K101" s="21">
        <v>8</v>
      </c>
      <c r="L101" s="34">
        <v>120</v>
      </c>
      <c r="M101" s="20" t="s">
        <v>49</v>
      </c>
      <c r="N101" s="20" t="s">
        <v>50</v>
      </c>
      <c r="O101" s="21" t="s">
        <v>314</v>
      </c>
      <c r="P101" s="21" t="s">
        <v>315</v>
      </c>
      <c r="Q101" s="20" t="s">
        <v>53</v>
      </c>
      <c r="R101" s="21" t="s">
        <v>1117</v>
      </c>
    </row>
    <row r="102" spans="1:18" s="21" customFormat="1" x14ac:dyDescent="0.35">
      <c r="A102" s="21">
        <f>IF(D102="","",ROW()-1)</f>
        <v>101</v>
      </c>
      <c r="B102" s="21" t="s">
        <v>35</v>
      </c>
      <c r="C102" s="21" t="s">
        <v>1351</v>
      </c>
      <c r="D102" s="21" t="s">
        <v>26</v>
      </c>
      <c r="E102" s="21" t="s">
        <v>316</v>
      </c>
      <c r="F102" s="21" t="s">
        <v>317</v>
      </c>
      <c r="G102" s="21" t="s">
        <v>318</v>
      </c>
      <c r="H102" s="20" t="s">
        <v>319</v>
      </c>
      <c r="I102" s="20">
        <v>85275617472</v>
      </c>
      <c r="J102" s="21">
        <v>20</v>
      </c>
      <c r="K102" s="21">
        <v>3</v>
      </c>
      <c r="L102" s="34">
        <v>45</v>
      </c>
      <c r="M102" s="20" t="s">
        <v>49</v>
      </c>
      <c r="N102" s="20" t="s">
        <v>50</v>
      </c>
      <c r="O102" s="21" t="s">
        <v>320</v>
      </c>
      <c r="P102" s="21" t="s">
        <v>321</v>
      </c>
      <c r="Q102" s="20" t="s">
        <v>53</v>
      </c>
      <c r="R102" s="21" t="s">
        <v>1117</v>
      </c>
    </row>
    <row r="103" spans="1:18" s="21" customFormat="1" x14ac:dyDescent="0.35">
      <c r="A103" s="21">
        <f>IF(D103="","",ROW()-1)</f>
        <v>102</v>
      </c>
      <c r="B103" s="21" t="s">
        <v>35</v>
      </c>
      <c r="C103" s="21" t="s">
        <v>1351</v>
      </c>
      <c r="D103" s="21" t="s">
        <v>26</v>
      </c>
      <c r="E103" s="21" t="s">
        <v>316</v>
      </c>
      <c r="F103" s="21" t="s">
        <v>322</v>
      </c>
      <c r="G103" s="21" t="s">
        <v>323</v>
      </c>
      <c r="H103" s="20" t="s">
        <v>324</v>
      </c>
      <c r="I103" s="20">
        <v>81265097917</v>
      </c>
      <c r="J103" s="21">
        <v>20</v>
      </c>
      <c r="K103" s="21">
        <v>3</v>
      </c>
      <c r="L103" s="34">
        <v>45</v>
      </c>
      <c r="M103" s="20" t="s">
        <v>49</v>
      </c>
      <c r="N103" s="20" t="s">
        <v>50</v>
      </c>
      <c r="O103" s="21" t="s">
        <v>325</v>
      </c>
      <c r="P103" s="21" t="s">
        <v>326</v>
      </c>
      <c r="Q103" s="20" t="s">
        <v>53</v>
      </c>
      <c r="R103" s="21" t="s">
        <v>1117</v>
      </c>
    </row>
    <row r="104" spans="1:18" s="21" customFormat="1" x14ac:dyDescent="0.35">
      <c r="A104" s="21">
        <f>IF(D104="","",ROW()-1)</f>
        <v>103</v>
      </c>
      <c r="B104" s="21" t="s">
        <v>35</v>
      </c>
      <c r="C104" s="21" t="s">
        <v>1351</v>
      </c>
      <c r="D104" s="21" t="s">
        <v>26</v>
      </c>
      <c r="E104" s="21" t="s">
        <v>316</v>
      </c>
      <c r="F104" s="21" t="s">
        <v>327</v>
      </c>
      <c r="G104" s="21" t="s">
        <v>328</v>
      </c>
      <c r="H104" s="20" t="s">
        <v>329</v>
      </c>
      <c r="I104" s="20">
        <v>81362889866</v>
      </c>
      <c r="J104" s="21">
        <v>20</v>
      </c>
      <c r="K104" s="21">
        <v>3</v>
      </c>
      <c r="L104" s="34">
        <v>45</v>
      </c>
      <c r="M104" s="20" t="s">
        <v>49</v>
      </c>
      <c r="N104" s="20" t="s">
        <v>50</v>
      </c>
      <c r="O104" s="21" t="s">
        <v>330</v>
      </c>
      <c r="P104" s="21" t="s">
        <v>331</v>
      </c>
      <c r="Q104" s="20" t="s">
        <v>53</v>
      </c>
      <c r="R104" s="21" t="s">
        <v>1117</v>
      </c>
    </row>
    <row r="105" spans="1:18" s="21" customFormat="1" x14ac:dyDescent="0.35">
      <c r="A105" s="21">
        <f>IF(D105="","",ROW()-1)</f>
        <v>104</v>
      </c>
      <c r="B105" s="21" t="s">
        <v>35</v>
      </c>
      <c r="C105" s="21" t="s">
        <v>1351</v>
      </c>
      <c r="D105" s="21" t="s">
        <v>26</v>
      </c>
      <c r="E105" s="21" t="s">
        <v>332</v>
      </c>
      <c r="F105" s="21" t="s">
        <v>333</v>
      </c>
      <c r="G105" s="21" t="s">
        <v>334</v>
      </c>
      <c r="H105" s="20" t="s">
        <v>335</v>
      </c>
      <c r="I105" s="20" t="s">
        <v>336</v>
      </c>
      <c r="J105" s="21">
        <v>17</v>
      </c>
      <c r="K105" s="21">
        <v>5</v>
      </c>
      <c r="L105" s="34">
        <v>75</v>
      </c>
      <c r="M105" s="20" t="s">
        <v>49</v>
      </c>
      <c r="N105" s="20" t="s">
        <v>50</v>
      </c>
      <c r="O105" s="21" t="s">
        <v>337</v>
      </c>
      <c r="P105" s="21" t="s">
        <v>338</v>
      </c>
      <c r="Q105" s="20" t="s">
        <v>53</v>
      </c>
      <c r="R105" s="21" t="s">
        <v>1117</v>
      </c>
    </row>
    <row r="106" spans="1:18" s="21" customFormat="1" x14ac:dyDescent="0.35">
      <c r="A106" s="21">
        <f>IF(D106="","",ROW()-1)</f>
        <v>105</v>
      </c>
      <c r="B106" s="21" t="s">
        <v>35</v>
      </c>
      <c r="C106" s="21" t="s">
        <v>1351</v>
      </c>
      <c r="D106" s="21" t="s">
        <v>26</v>
      </c>
      <c r="E106" s="21" t="s">
        <v>339</v>
      </c>
      <c r="F106" s="21" t="s">
        <v>340</v>
      </c>
      <c r="G106" s="21" t="s">
        <v>341</v>
      </c>
      <c r="H106" s="20" t="s">
        <v>342</v>
      </c>
      <c r="I106" s="20" t="s">
        <v>343</v>
      </c>
      <c r="J106" s="21">
        <v>17</v>
      </c>
      <c r="K106" s="21">
        <v>5</v>
      </c>
      <c r="L106" s="34">
        <v>75</v>
      </c>
      <c r="M106" s="20" t="s">
        <v>49</v>
      </c>
      <c r="N106" s="20" t="s">
        <v>50</v>
      </c>
      <c r="O106" s="21" t="s">
        <v>344</v>
      </c>
      <c r="P106" s="21" t="s">
        <v>345</v>
      </c>
      <c r="Q106" s="20" t="s">
        <v>53</v>
      </c>
      <c r="R106" s="21" t="s">
        <v>1117</v>
      </c>
    </row>
    <row r="107" spans="1:18" s="21" customFormat="1" x14ac:dyDescent="0.35">
      <c r="A107" s="21">
        <f>IF(D107="","",ROW()-1)</f>
        <v>106</v>
      </c>
      <c r="B107" s="21" t="s">
        <v>35</v>
      </c>
      <c r="C107" s="21" t="s">
        <v>1351</v>
      </c>
      <c r="D107" s="21" t="s">
        <v>26</v>
      </c>
      <c r="E107" s="21" t="s">
        <v>346</v>
      </c>
      <c r="F107" s="21" t="s">
        <v>347</v>
      </c>
      <c r="G107" s="21" t="s">
        <v>348</v>
      </c>
      <c r="H107" s="20" t="s">
        <v>349</v>
      </c>
      <c r="I107" s="20">
        <v>81375786613</v>
      </c>
      <c r="J107" s="21">
        <v>15</v>
      </c>
      <c r="K107" s="21">
        <v>6</v>
      </c>
      <c r="L107" s="34">
        <v>90</v>
      </c>
      <c r="M107" s="20" t="s">
        <v>49</v>
      </c>
      <c r="N107" s="20" t="s">
        <v>50</v>
      </c>
      <c r="O107" s="21" t="s">
        <v>350</v>
      </c>
      <c r="P107" s="21" t="s">
        <v>351</v>
      </c>
      <c r="Q107" s="20" t="s">
        <v>53</v>
      </c>
      <c r="R107" s="21" t="s">
        <v>1117</v>
      </c>
    </row>
    <row r="108" spans="1:18" s="21" customFormat="1" x14ac:dyDescent="0.35">
      <c r="A108" s="21">
        <f>IF(D108="","",ROW()-1)</f>
        <v>107</v>
      </c>
      <c r="B108" s="21" t="s">
        <v>35</v>
      </c>
      <c r="C108" s="21" t="s">
        <v>1351</v>
      </c>
      <c r="D108" s="21" t="s">
        <v>26</v>
      </c>
      <c r="E108" s="21" t="s">
        <v>352</v>
      </c>
      <c r="F108" s="21" t="s">
        <v>353</v>
      </c>
      <c r="G108" s="21" t="s">
        <v>354</v>
      </c>
      <c r="H108" s="20" t="s">
        <v>355</v>
      </c>
      <c r="I108" s="20">
        <v>82368447769</v>
      </c>
      <c r="J108" s="21">
        <v>20</v>
      </c>
      <c r="K108" s="21">
        <v>2</v>
      </c>
      <c r="L108" s="34">
        <v>30</v>
      </c>
      <c r="M108" s="20" t="s">
        <v>49</v>
      </c>
      <c r="N108" s="20" t="s">
        <v>50</v>
      </c>
      <c r="O108" s="21" t="s">
        <v>356</v>
      </c>
      <c r="P108" s="21" t="s">
        <v>357</v>
      </c>
      <c r="Q108" s="20" t="s">
        <v>53</v>
      </c>
      <c r="R108" s="21" t="s">
        <v>1117</v>
      </c>
    </row>
    <row r="109" spans="1:18" s="21" customFormat="1" x14ac:dyDescent="0.35">
      <c r="A109" s="21">
        <f>IF(D109="","",ROW()-1)</f>
        <v>108</v>
      </c>
      <c r="B109" s="21" t="s">
        <v>35</v>
      </c>
      <c r="C109" s="21" t="s">
        <v>1351</v>
      </c>
      <c r="D109" s="21" t="s">
        <v>26</v>
      </c>
      <c r="E109" s="21" t="s">
        <v>358</v>
      </c>
      <c r="F109" s="21" t="s">
        <v>359</v>
      </c>
      <c r="G109" s="21" t="s">
        <v>360</v>
      </c>
      <c r="H109" s="20" t="s">
        <v>361</v>
      </c>
      <c r="I109" s="20">
        <v>82173658313</v>
      </c>
      <c r="J109" s="21">
        <v>20</v>
      </c>
      <c r="K109" s="21">
        <v>2</v>
      </c>
      <c r="L109" s="34">
        <v>30</v>
      </c>
      <c r="M109" s="20" t="s">
        <v>49</v>
      </c>
      <c r="N109" s="20" t="s">
        <v>50</v>
      </c>
      <c r="O109" s="21" t="s">
        <v>362</v>
      </c>
      <c r="P109" s="21" t="s">
        <v>363</v>
      </c>
      <c r="Q109" s="20" t="s">
        <v>53</v>
      </c>
      <c r="R109" s="21" t="s">
        <v>1117</v>
      </c>
    </row>
    <row r="110" spans="1:18" s="21" customFormat="1" x14ac:dyDescent="0.35">
      <c r="A110" s="21">
        <f>IF(D110="","",ROW()-1)</f>
        <v>109</v>
      </c>
      <c r="B110" s="21" t="s">
        <v>35</v>
      </c>
      <c r="C110" s="21" t="s">
        <v>1351</v>
      </c>
      <c r="D110" s="21" t="s">
        <v>26</v>
      </c>
      <c r="E110" s="21" t="s">
        <v>358</v>
      </c>
      <c r="F110" s="21" t="s">
        <v>364</v>
      </c>
      <c r="G110" s="21" t="s">
        <v>365</v>
      </c>
      <c r="H110" s="20" t="s">
        <v>366</v>
      </c>
      <c r="I110" s="20">
        <v>85294473876</v>
      </c>
      <c r="J110" s="21">
        <v>20</v>
      </c>
      <c r="K110" s="21">
        <v>2</v>
      </c>
      <c r="L110" s="34">
        <v>30</v>
      </c>
      <c r="M110" s="20" t="s">
        <v>49</v>
      </c>
      <c r="N110" s="20" t="s">
        <v>50</v>
      </c>
      <c r="O110" s="21" t="s">
        <v>367</v>
      </c>
      <c r="P110" s="21" t="s">
        <v>368</v>
      </c>
      <c r="Q110" s="20" t="s">
        <v>53</v>
      </c>
      <c r="R110" s="21" t="s">
        <v>1117</v>
      </c>
    </row>
    <row r="111" spans="1:18" s="21" customFormat="1" x14ac:dyDescent="0.35">
      <c r="A111" s="21">
        <f>IF(D111="","",ROW()-1)</f>
        <v>110</v>
      </c>
      <c r="B111" s="21" t="s">
        <v>35</v>
      </c>
      <c r="C111" s="21" t="s">
        <v>1351</v>
      </c>
      <c r="D111" s="21" t="s">
        <v>26</v>
      </c>
      <c r="E111" s="21" t="s">
        <v>369</v>
      </c>
      <c r="F111" s="21" t="s">
        <v>370</v>
      </c>
      <c r="G111" s="21" t="s">
        <v>371</v>
      </c>
      <c r="H111" s="20" t="s">
        <v>372</v>
      </c>
      <c r="I111" s="20">
        <v>82294846346</v>
      </c>
      <c r="J111" s="21">
        <v>20</v>
      </c>
      <c r="K111" s="21">
        <v>5</v>
      </c>
      <c r="L111" s="34">
        <v>75</v>
      </c>
      <c r="M111" s="20" t="s">
        <v>49</v>
      </c>
      <c r="N111" s="20" t="s">
        <v>50</v>
      </c>
      <c r="O111" s="21" t="s">
        <v>373</v>
      </c>
      <c r="P111" s="21" t="s">
        <v>374</v>
      </c>
      <c r="Q111" s="20" t="s">
        <v>53</v>
      </c>
      <c r="R111" s="21" t="s">
        <v>1117</v>
      </c>
    </row>
    <row r="112" spans="1:18" s="21" customFormat="1" x14ac:dyDescent="0.35">
      <c r="A112" s="21">
        <f>IF(D112="","",ROW()-1)</f>
        <v>111</v>
      </c>
      <c r="B112" s="21" t="s">
        <v>35</v>
      </c>
      <c r="C112" s="21" t="s">
        <v>1351</v>
      </c>
      <c r="D112" s="21" t="s">
        <v>26</v>
      </c>
      <c r="E112" s="21" t="s">
        <v>369</v>
      </c>
      <c r="F112" s="21" t="s">
        <v>375</v>
      </c>
      <c r="G112" s="21" t="s">
        <v>376</v>
      </c>
      <c r="H112" s="20" t="s">
        <v>377</v>
      </c>
      <c r="I112" s="20">
        <v>81264455529</v>
      </c>
      <c r="J112" s="21">
        <v>20</v>
      </c>
      <c r="K112" s="21">
        <v>7</v>
      </c>
      <c r="L112" s="34">
        <v>105</v>
      </c>
      <c r="M112" s="20" t="s">
        <v>49</v>
      </c>
      <c r="N112" s="20" t="s">
        <v>50</v>
      </c>
      <c r="O112" s="21" t="s">
        <v>378</v>
      </c>
      <c r="P112" s="21" t="s">
        <v>379</v>
      </c>
      <c r="Q112" s="20" t="s">
        <v>53</v>
      </c>
      <c r="R112" s="21" t="s">
        <v>1117</v>
      </c>
    </row>
    <row r="113" spans="1:18" s="21" customFormat="1" x14ac:dyDescent="0.35">
      <c r="A113" s="21">
        <f>IF(D113="","",ROW()-1)</f>
        <v>112</v>
      </c>
      <c r="B113" s="21" t="s">
        <v>35</v>
      </c>
      <c r="C113" s="21" t="s">
        <v>1351</v>
      </c>
      <c r="D113" s="21" t="s">
        <v>26</v>
      </c>
      <c r="E113" s="21" t="s">
        <v>369</v>
      </c>
      <c r="F113" s="21" t="s">
        <v>380</v>
      </c>
      <c r="G113" s="21" t="s">
        <v>381</v>
      </c>
      <c r="H113" s="20" t="s">
        <v>382</v>
      </c>
      <c r="I113" s="20">
        <v>81376675445</v>
      </c>
      <c r="J113" s="21">
        <v>20</v>
      </c>
      <c r="K113" s="21">
        <v>5</v>
      </c>
      <c r="L113" s="34">
        <v>75</v>
      </c>
      <c r="M113" s="20" t="s">
        <v>49</v>
      </c>
      <c r="N113" s="20" t="s">
        <v>50</v>
      </c>
      <c r="O113" s="21" t="s">
        <v>383</v>
      </c>
      <c r="P113" s="21" t="s">
        <v>384</v>
      </c>
      <c r="Q113" s="20" t="s">
        <v>53</v>
      </c>
      <c r="R113" s="21" t="s">
        <v>1117</v>
      </c>
    </row>
    <row r="114" spans="1:18" s="21" customFormat="1" x14ac:dyDescent="0.35">
      <c r="A114" s="21">
        <f>IF(D114="","",ROW()-1)</f>
        <v>113</v>
      </c>
      <c r="B114" s="21" t="s">
        <v>35</v>
      </c>
      <c r="C114" s="21" t="s">
        <v>1351</v>
      </c>
      <c r="D114" s="21" t="s">
        <v>26</v>
      </c>
      <c r="E114" s="21" t="s">
        <v>385</v>
      </c>
      <c r="F114" s="21" t="s">
        <v>386</v>
      </c>
      <c r="G114" s="21" t="s">
        <v>387</v>
      </c>
      <c r="H114" s="20" t="s">
        <v>388</v>
      </c>
      <c r="I114" s="20">
        <v>81263587055</v>
      </c>
      <c r="J114" s="21">
        <v>20</v>
      </c>
      <c r="K114" s="21">
        <v>3</v>
      </c>
      <c r="L114" s="34">
        <v>45</v>
      </c>
      <c r="M114" s="20" t="s">
        <v>49</v>
      </c>
      <c r="N114" s="20" t="s">
        <v>50</v>
      </c>
      <c r="O114" s="21" t="s">
        <v>389</v>
      </c>
      <c r="P114" s="21" t="s">
        <v>390</v>
      </c>
      <c r="Q114" s="20" t="s">
        <v>53</v>
      </c>
      <c r="R114" s="21" t="s">
        <v>1117</v>
      </c>
    </row>
    <row r="115" spans="1:18" s="21" customFormat="1" x14ac:dyDescent="0.35">
      <c r="A115" s="21">
        <f>IF(D115="","",ROW()-1)</f>
        <v>114</v>
      </c>
      <c r="B115" s="21" t="s">
        <v>35</v>
      </c>
      <c r="C115" s="21" t="s">
        <v>1351</v>
      </c>
      <c r="D115" s="21" t="s">
        <v>26</v>
      </c>
      <c r="E115" s="21" t="s">
        <v>391</v>
      </c>
      <c r="F115" s="21" t="s">
        <v>188</v>
      </c>
      <c r="G115" s="21" t="s">
        <v>392</v>
      </c>
      <c r="H115" s="20" t="s">
        <v>393</v>
      </c>
      <c r="I115" s="20">
        <v>82304165379</v>
      </c>
      <c r="J115" s="21">
        <v>20</v>
      </c>
      <c r="K115" s="21">
        <v>3</v>
      </c>
      <c r="L115" s="34">
        <v>45</v>
      </c>
      <c r="M115" s="20" t="s">
        <v>49</v>
      </c>
      <c r="N115" s="20" t="s">
        <v>50</v>
      </c>
      <c r="O115" s="21" t="s">
        <v>394</v>
      </c>
      <c r="P115" s="21" t="s">
        <v>395</v>
      </c>
      <c r="Q115" s="20" t="s">
        <v>53</v>
      </c>
      <c r="R115" s="21" t="s">
        <v>1117</v>
      </c>
    </row>
    <row r="116" spans="1:18" s="21" customFormat="1" x14ac:dyDescent="0.35">
      <c r="A116" s="21">
        <f>IF(D116="","",ROW()-1)</f>
        <v>115</v>
      </c>
      <c r="B116" s="21" t="s">
        <v>35</v>
      </c>
      <c r="C116" s="21" t="s">
        <v>1351</v>
      </c>
      <c r="D116" s="21" t="s">
        <v>26</v>
      </c>
      <c r="E116" s="21" t="s">
        <v>391</v>
      </c>
      <c r="F116" s="21" t="s">
        <v>396</v>
      </c>
      <c r="G116" s="21" t="s">
        <v>397</v>
      </c>
      <c r="H116" s="20" t="s">
        <v>398</v>
      </c>
      <c r="I116" s="20">
        <v>82366962475</v>
      </c>
      <c r="J116" s="21">
        <v>20</v>
      </c>
      <c r="K116" s="21">
        <v>3</v>
      </c>
      <c r="L116" s="34">
        <v>45</v>
      </c>
      <c r="M116" s="20" t="s">
        <v>49</v>
      </c>
      <c r="N116" s="20" t="s">
        <v>50</v>
      </c>
      <c r="O116" s="21" t="s">
        <v>399</v>
      </c>
      <c r="P116" s="21" t="s">
        <v>400</v>
      </c>
      <c r="Q116" s="20" t="s">
        <v>53</v>
      </c>
      <c r="R116" s="21" t="s">
        <v>1117</v>
      </c>
    </row>
    <row r="117" spans="1:18" s="21" customFormat="1" x14ac:dyDescent="0.35">
      <c r="A117" s="21">
        <f>IF(D117="","",ROW()-1)</f>
        <v>116</v>
      </c>
      <c r="B117" s="21" t="s">
        <v>35</v>
      </c>
      <c r="C117" s="21" t="s">
        <v>1351</v>
      </c>
      <c r="D117" s="21" t="s">
        <v>26</v>
      </c>
      <c r="E117" s="21" t="s">
        <v>391</v>
      </c>
      <c r="F117" s="21" t="s">
        <v>401</v>
      </c>
      <c r="G117" s="21" t="s">
        <v>402</v>
      </c>
      <c r="H117" s="20" t="s">
        <v>403</v>
      </c>
      <c r="I117" s="20">
        <v>81377305845</v>
      </c>
      <c r="J117" s="21">
        <v>20</v>
      </c>
      <c r="K117" s="21">
        <v>3</v>
      </c>
      <c r="L117" s="34">
        <v>45</v>
      </c>
      <c r="M117" s="20" t="s">
        <v>49</v>
      </c>
      <c r="N117" s="20" t="s">
        <v>50</v>
      </c>
      <c r="O117" s="21" t="s">
        <v>404</v>
      </c>
      <c r="P117" s="21" t="s">
        <v>405</v>
      </c>
      <c r="Q117" s="20" t="s">
        <v>53</v>
      </c>
      <c r="R117" s="21" t="s">
        <v>1117</v>
      </c>
    </row>
    <row r="118" spans="1:18" s="21" customFormat="1" x14ac:dyDescent="0.35">
      <c r="A118" s="21">
        <f>IF(D118="","",ROW()-1)</f>
        <v>117</v>
      </c>
      <c r="B118" s="21" t="s">
        <v>35</v>
      </c>
      <c r="C118" s="21" t="s">
        <v>1351</v>
      </c>
      <c r="D118" s="21" t="s">
        <v>26</v>
      </c>
      <c r="E118" s="21" t="s">
        <v>406</v>
      </c>
      <c r="F118" s="21" t="s">
        <v>407</v>
      </c>
      <c r="G118" s="21" t="s">
        <v>408</v>
      </c>
      <c r="H118" s="20" t="s">
        <v>409</v>
      </c>
      <c r="I118" s="20">
        <v>82168541550</v>
      </c>
      <c r="J118" s="21">
        <v>20</v>
      </c>
      <c r="K118" s="21">
        <v>5</v>
      </c>
      <c r="L118" s="34">
        <v>75</v>
      </c>
      <c r="M118" s="20" t="s">
        <v>49</v>
      </c>
      <c r="N118" s="20" t="s">
        <v>50</v>
      </c>
      <c r="O118" s="21" t="s">
        <v>410</v>
      </c>
      <c r="P118" s="21" t="s">
        <v>411</v>
      </c>
      <c r="Q118" s="20" t="s">
        <v>53</v>
      </c>
      <c r="R118" s="21" t="s">
        <v>1117</v>
      </c>
    </row>
    <row r="119" spans="1:18" s="21" customFormat="1" x14ac:dyDescent="0.35">
      <c r="A119" s="21">
        <f>IF(D119="","",ROW()-1)</f>
        <v>118</v>
      </c>
      <c r="B119" s="21" t="s">
        <v>35</v>
      </c>
      <c r="C119" s="21" t="s">
        <v>1351</v>
      </c>
      <c r="D119" s="21" t="s">
        <v>26</v>
      </c>
      <c r="E119" s="21" t="s">
        <v>406</v>
      </c>
      <c r="F119" s="21" t="s">
        <v>54</v>
      </c>
      <c r="G119" s="21" t="s">
        <v>412</v>
      </c>
      <c r="H119" s="20" t="s">
        <v>413</v>
      </c>
      <c r="I119" s="20">
        <v>81375234816</v>
      </c>
      <c r="J119" s="21">
        <v>20</v>
      </c>
      <c r="K119" s="21">
        <v>5</v>
      </c>
      <c r="L119" s="34">
        <v>75</v>
      </c>
      <c r="M119" s="20" t="s">
        <v>49</v>
      </c>
      <c r="N119" s="20" t="s">
        <v>50</v>
      </c>
      <c r="O119" s="21" t="s">
        <v>414</v>
      </c>
      <c r="P119" s="21" t="s">
        <v>415</v>
      </c>
      <c r="Q119" s="20" t="s">
        <v>53</v>
      </c>
      <c r="R119" s="21" t="s">
        <v>1117</v>
      </c>
    </row>
    <row r="120" spans="1:18" s="21" customFormat="1" x14ac:dyDescent="0.35">
      <c r="A120" s="21">
        <f>IF(D120="","",ROW()-1)</f>
        <v>119</v>
      </c>
      <c r="B120" s="21" t="s">
        <v>35</v>
      </c>
      <c r="C120" s="21" t="s">
        <v>1351</v>
      </c>
      <c r="D120" s="21" t="s">
        <v>26</v>
      </c>
      <c r="E120" s="21" t="s">
        <v>406</v>
      </c>
      <c r="F120" s="21" t="s">
        <v>86</v>
      </c>
      <c r="G120" s="21" t="s">
        <v>416</v>
      </c>
      <c r="H120" s="20" t="s">
        <v>417</v>
      </c>
      <c r="I120" s="20">
        <v>82286115272</v>
      </c>
      <c r="J120" s="21">
        <v>20</v>
      </c>
      <c r="K120" s="21">
        <v>5</v>
      </c>
      <c r="L120" s="34">
        <v>75</v>
      </c>
      <c r="M120" s="20" t="s">
        <v>49</v>
      </c>
      <c r="N120" s="20" t="s">
        <v>50</v>
      </c>
      <c r="O120" s="21" t="s">
        <v>418</v>
      </c>
      <c r="P120" s="21" t="s">
        <v>419</v>
      </c>
      <c r="Q120" s="20" t="s">
        <v>53</v>
      </c>
      <c r="R120" s="21" t="s">
        <v>1117</v>
      </c>
    </row>
    <row r="121" spans="1:18" s="21" customFormat="1" x14ac:dyDescent="0.35">
      <c r="A121" s="21">
        <f>IF(D121="","",ROW()-1)</f>
        <v>120</v>
      </c>
      <c r="B121" s="21" t="s">
        <v>35</v>
      </c>
      <c r="C121" s="21" t="s">
        <v>1351</v>
      </c>
      <c r="D121" s="21" t="s">
        <v>26</v>
      </c>
      <c r="E121" s="21" t="s">
        <v>406</v>
      </c>
      <c r="F121" s="21" t="s">
        <v>420</v>
      </c>
      <c r="G121" s="21" t="s">
        <v>421</v>
      </c>
      <c r="H121" s="20" t="s">
        <v>422</v>
      </c>
      <c r="I121" s="20">
        <v>82167707123</v>
      </c>
      <c r="J121" s="21">
        <v>20</v>
      </c>
      <c r="K121" s="21">
        <v>5</v>
      </c>
      <c r="L121" s="34">
        <v>75</v>
      </c>
      <c r="M121" s="20" t="s">
        <v>49</v>
      </c>
      <c r="N121" s="20" t="s">
        <v>50</v>
      </c>
      <c r="O121" s="21" t="s">
        <v>423</v>
      </c>
      <c r="P121" s="21" t="s">
        <v>424</v>
      </c>
      <c r="Q121" s="20" t="s">
        <v>53</v>
      </c>
      <c r="R121" s="21" t="s">
        <v>1117</v>
      </c>
    </row>
    <row r="122" spans="1:18" s="21" customFormat="1" x14ac:dyDescent="0.35">
      <c r="A122" s="21">
        <f>IF(D122="","",ROW()-1)</f>
        <v>121</v>
      </c>
      <c r="B122" s="21" t="s">
        <v>35</v>
      </c>
      <c r="C122" s="21" t="s">
        <v>1351</v>
      </c>
      <c r="D122" s="21" t="s">
        <v>26</v>
      </c>
      <c r="E122" s="21" t="s">
        <v>406</v>
      </c>
      <c r="F122" s="21" t="s">
        <v>425</v>
      </c>
      <c r="G122" s="21" t="s">
        <v>426</v>
      </c>
      <c r="H122" s="20" t="s">
        <v>427</v>
      </c>
      <c r="I122" s="20">
        <v>82163362093</v>
      </c>
      <c r="J122" s="21">
        <v>20</v>
      </c>
      <c r="K122" s="21">
        <v>5</v>
      </c>
      <c r="L122" s="34">
        <v>75</v>
      </c>
      <c r="M122" s="20" t="s">
        <v>49</v>
      </c>
      <c r="N122" s="20" t="s">
        <v>50</v>
      </c>
      <c r="O122" s="21" t="s">
        <v>428</v>
      </c>
      <c r="P122" s="21" t="s">
        <v>429</v>
      </c>
      <c r="Q122" s="20" t="s">
        <v>53</v>
      </c>
      <c r="R122" s="21" t="s">
        <v>1117</v>
      </c>
    </row>
    <row r="123" spans="1:18" s="21" customFormat="1" x14ac:dyDescent="0.35">
      <c r="A123" s="21">
        <f>IF(D123="","",ROW()-1)</f>
        <v>122</v>
      </c>
      <c r="B123" s="21" t="s">
        <v>35</v>
      </c>
      <c r="C123" s="21" t="s">
        <v>1351</v>
      </c>
      <c r="D123" s="21" t="s">
        <v>28</v>
      </c>
      <c r="E123" s="21" t="s">
        <v>430</v>
      </c>
      <c r="F123" s="21" t="s">
        <v>431</v>
      </c>
      <c r="G123" s="21" t="s">
        <v>432</v>
      </c>
      <c r="H123" s="20" t="s">
        <v>433</v>
      </c>
      <c r="I123" s="20" t="s">
        <v>434</v>
      </c>
      <c r="J123" s="21">
        <v>25</v>
      </c>
      <c r="K123" s="21">
        <v>10</v>
      </c>
      <c r="L123" s="34">
        <v>150</v>
      </c>
      <c r="M123" s="20" t="s">
        <v>49</v>
      </c>
      <c r="N123" s="20" t="s">
        <v>50</v>
      </c>
      <c r="O123" s="21" t="s">
        <v>435</v>
      </c>
      <c r="P123" s="21" t="s">
        <v>436</v>
      </c>
      <c r="Q123" s="20" t="s">
        <v>53</v>
      </c>
      <c r="R123" s="21" t="s">
        <v>1117</v>
      </c>
    </row>
    <row r="124" spans="1:18" s="21" customFormat="1" x14ac:dyDescent="0.35">
      <c r="A124" s="21">
        <f>IF(D124="","",ROW()-1)</f>
        <v>123</v>
      </c>
      <c r="B124" s="21" t="s">
        <v>35</v>
      </c>
      <c r="C124" s="21" t="s">
        <v>1351</v>
      </c>
      <c r="D124" s="21" t="s">
        <v>28</v>
      </c>
      <c r="E124" s="21" t="s">
        <v>437</v>
      </c>
      <c r="F124" s="21" t="s">
        <v>438</v>
      </c>
      <c r="G124" s="21" t="s">
        <v>439</v>
      </c>
      <c r="H124" s="20" t="s">
        <v>440</v>
      </c>
      <c r="I124" s="20" t="s">
        <v>441</v>
      </c>
      <c r="J124" s="21">
        <v>25</v>
      </c>
      <c r="K124" s="21">
        <v>10</v>
      </c>
      <c r="L124" s="34">
        <v>150</v>
      </c>
      <c r="M124" s="20" t="s">
        <v>49</v>
      </c>
      <c r="N124" s="20" t="s">
        <v>50</v>
      </c>
      <c r="O124" s="21" t="s">
        <v>442</v>
      </c>
      <c r="P124" s="21" t="s">
        <v>443</v>
      </c>
      <c r="Q124" s="20" t="s">
        <v>53</v>
      </c>
      <c r="R124" s="21" t="s">
        <v>1117</v>
      </c>
    </row>
    <row r="125" spans="1:18" s="21" customFormat="1" x14ac:dyDescent="0.35">
      <c r="A125" s="21">
        <f>IF(D125="","",ROW()-1)</f>
        <v>124</v>
      </c>
      <c r="B125" s="21" t="s">
        <v>35</v>
      </c>
      <c r="C125" s="21" t="s">
        <v>1351</v>
      </c>
      <c r="D125" s="21" t="s">
        <v>28</v>
      </c>
      <c r="E125" s="21" t="s">
        <v>444</v>
      </c>
      <c r="F125" s="21" t="s">
        <v>445</v>
      </c>
      <c r="G125" s="21" t="s">
        <v>446</v>
      </c>
      <c r="H125" s="20" t="s">
        <v>447</v>
      </c>
      <c r="I125" s="20" t="s">
        <v>448</v>
      </c>
      <c r="J125" s="21">
        <v>25</v>
      </c>
      <c r="K125" s="21">
        <v>10</v>
      </c>
      <c r="L125" s="34">
        <v>150</v>
      </c>
      <c r="M125" s="20" t="s">
        <v>49</v>
      </c>
      <c r="N125" s="20" t="s">
        <v>50</v>
      </c>
      <c r="O125" s="21" t="s">
        <v>449</v>
      </c>
      <c r="P125" s="21" t="s">
        <v>450</v>
      </c>
      <c r="Q125" s="20" t="s">
        <v>53</v>
      </c>
      <c r="R125" s="21" t="s">
        <v>1117</v>
      </c>
    </row>
    <row r="126" spans="1:18" s="21" customFormat="1" x14ac:dyDescent="0.35">
      <c r="A126" s="21">
        <f>IF(D126="","",ROW()-1)</f>
        <v>125</v>
      </c>
      <c r="B126" s="21" t="s">
        <v>35</v>
      </c>
      <c r="C126" s="21" t="s">
        <v>1351</v>
      </c>
      <c r="D126" s="21" t="s">
        <v>28</v>
      </c>
      <c r="E126" s="21" t="s">
        <v>451</v>
      </c>
      <c r="F126" s="21" t="s">
        <v>45</v>
      </c>
      <c r="G126" s="21" t="s">
        <v>452</v>
      </c>
      <c r="H126" s="20" t="s">
        <v>453</v>
      </c>
      <c r="I126" s="20" t="s">
        <v>454</v>
      </c>
      <c r="J126" s="21">
        <v>25</v>
      </c>
      <c r="K126" s="21">
        <v>10</v>
      </c>
      <c r="L126" s="34">
        <v>150</v>
      </c>
      <c r="M126" s="20" t="s">
        <v>49</v>
      </c>
      <c r="N126" s="20" t="s">
        <v>50</v>
      </c>
      <c r="O126" s="21" t="s">
        <v>455</v>
      </c>
      <c r="P126" s="21" t="s">
        <v>456</v>
      </c>
      <c r="Q126" s="20" t="s">
        <v>53</v>
      </c>
      <c r="R126" s="21" t="s">
        <v>1117</v>
      </c>
    </row>
    <row r="127" spans="1:18" s="21" customFormat="1" x14ac:dyDescent="0.35">
      <c r="A127" s="21">
        <f>IF(D127="","",ROW()-1)</f>
        <v>126</v>
      </c>
      <c r="B127" s="21" t="s">
        <v>35</v>
      </c>
      <c r="C127" s="21" t="s">
        <v>1351</v>
      </c>
      <c r="D127" s="21" t="s">
        <v>28</v>
      </c>
      <c r="E127" s="21" t="s">
        <v>457</v>
      </c>
      <c r="F127" s="21" t="s">
        <v>458</v>
      </c>
      <c r="G127" s="21" t="s">
        <v>459</v>
      </c>
      <c r="H127" s="20" t="s">
        <v>460</v>
      </c>
      <c r="I127" s="20" t="s">
        <v>461</v>
      </c>
      <c r="J127" s="21">
        <v>25</v>
      </c>
      <c r="K127" s="21">
        <v>10</v>
      </c>
      <c r="L127" s="34">
        <v>150</v>
      </c>
      <c r="M127" s="20" t="s">
        <v>49</v>
      </c>
      <c r="N127" s="20" t="s">
        <v>50</v>
      </c>
      <c r="O127" s="21" t="s">
        <v>462</v>
      </c>
      <c r="P127" s="21" t="s">
        <v>463</v>
      </c>
      <c r="Q127" s="20" t="s">
        <v>53</v>
      </c>
      <c r="R127" s="21" t="s">
        <v>1117</v>
      </c>
    </row>
    <row r="128" spans="1:18" s="21" customFormat="1" x14ac:dyDescent="0.35">
      <c r="A128" s="21">
        <f>IF(D128="","",ROW()-1)</f>
        <v>127</v>
      </c>
      <c r="B128" s="21" t="s">
        <v>35</v>
      </c>
      <c r="C128" s="21" t="s">
        <v>1351</v>
      </c>
      <c r="D128" s="21" t="s">
        <v>20</v>
      </c>
      <c r="E128" s="21" t="s">
        <v>464</v>
      </c>
      <c r="F128" s="21" t="s">
        <v>465</v>
      </c>
      <c r="G128" s="21" t="s">
        <v>466</v>
      </c>
      <c r="H128" s="20" t="s">
        <v>467</v>
      </c>
      <c r="I128" s="20" t="s">
        <v>468</v>
      </c>
      <c r="J128" s="21">
        <v>29</v>
      </c>
      <c r="K128" s="21">
        <v>5</v>
      </c>
      <c r="L128" s="34">
        <v>75</v>
      </c>
      <c r="M128" s="20" t="s">
        <v>49</v>
      </c>
      <c r="N128" s="20" t="s">
        <v>50</v>
      </c>
      <c r="O128" s="21" t="s">
        <v>469</v>
      </c>
      <c r="P128" s="21" t="s">
        <v>470</v>
      </c>
      <c r="Q128" s="20" t="s">
        <v>53</v>
      </c>
      <c r="R128" s="21" t="s">
        <v>1117</v>
      </c>
    </row>
    <row r="129" spans="1:18" s="21" customFormat="1" x14ac:dyDescent="0.35">
      <c r="A129" s="21">
        <f>IF(D129="","",ROW()-1)</f>
        <v>128</v>
      </c>
      <c r="B129" s="21" t="s">
        <v>35</v>
      </c>
      <c r="C129" s="21" t="s">
        <v>1351</v>
      </c>
      <c r="D129" s="21" t="s">
        <v>20</v>
      </c>
      <c r="E129" s="21" t="s">
        <v>464</v>
      </c>
      <c r="F129" s="21" t="s">
        <v>105</v>
      </c>
      <c r="G129" s="21" t="s">
        <v>471</v>
      </c>
      <c r="H129" s="20" t="s">
        <v>472</v>
      </c>
      <c r="I129" s="20" t="s">
        <v>473</v>
      </c>
      <c r="J129" s="21">
        <v>9</v>
      </c>
      <c r="K129" s="21">
        <v>3</v>
      </c>
      <c r="L129" s="34">
        <v>45</v>
      </c>
      <c r="M129" s="20" t="s">
        <v>49</v>
      </c>
      <c r="N129" s="20" t="s">
        <v>50</v>
      </c>
      <c r="O129" s="21" t="s">
        <v>474</v>
      </c>
      <c r="P129" s="21" t="s">
        <v>475</v>
      </c>
      <c r="Q129" s="20" t="s">
        <v>53</v>
      </c>
      <c r="R129" s="21" t="s">
        <v>1117</v>
      </c>
    </row>
    <row r="130" spans="1:18" s="21" customFormat="1" x14ac:dyDescent="0.35">
      <c r="A130" s="21">
        <f>IF(D130="","",ROW()-1)</f>
        <v>129</v>
      </c>
      <c r="B130" s="21" t="s">
        <v>35</v>
      </c>
      <c r="C130" s="21" t="s">
        <v>1351</v>
      </c>
      <c r="D130" s="21" t="s">
        <v>20</v>
      </c>
      <c r="E130" s="21" t="s">
        <v>464</v>
      </c>
      <c r="F130" s="21" t="s">
        <v>188</v>
      </c>
      <c r="G130" s="21" t="s">
        <v>476</v>
      </c>
      <c r="H130" s="20" t="s">
        <v>477</v>
      </c>
      <c r="I130" s="20" t="s">
        <v>478</v>
      </c>
      <c r="J130" s="21">
        <v>20</v>
      </c>
      <c r="K130" s="21">
        <v>5</v>
      </c>
      <c r="L130" s="34">
        <v>75</v>
      </c>
      <c r="M130" s="20" t="s">
        <v>49</v>
      </c>
      <c r="N130" s="20" t="s">
        <v>50</v>
      </c>
      <c r="O130" s="21" t="s">
        <v>479</v>
      </c>
      <c r="P130" s="21" t="s">
        <v>480</v>
      </c>
      <c r="Q130" s="20" t="s">
        <v>53</v>
      </c>
      <c r="R130" s="21" t="s">
        <v>1117</v>
      </c>
    </row>
    <row r="131" spans="1:18" s="21" customFormat="1" x14ac:dyDescent="0.35">
      <c r="A131" s="21">
        <f>IF(D131="","",ROW()-1)</f>
        <v>130</v>
      </c>
      <c r="B131" s="21" t="s">
        <v>35</v>
      </c>
      <c r="C131" s="21" t="s">
        <v>1351</v>
      </c>
      <c r="D131" s="21" t="s">
        <v>20</v>
      </c>
      <c r="E131" s="21" t="s">
        <v>464</v>
      </c>
      <c r="F131" s="21" t="s">
        <v>481</v>
      </c>
      <c r="G131" s="21" t="s">
        <v>482</v>
      </c>
      <c r="H131" s="20" t="s">
        <v>483</v>
      </c>
      <c r="I131" s="20" t="s">
        <v>484</v>
      </c>
      <c r="J131" s="21">
        <v>23</v>
      </c>
      <c r="K131" s="21">
        <v>3</v>
      </c>
      <c r="L131" s="34">
        <v>45</v>
      </c>
      <c r="M131" s="20" t="s">
        <v>49</v>
      </c>
      <c r="N131" s="20" t="s">
        <v>50</v>
      </c>
      <c r="O131" s="21" t="s">
        <v>485</v>
      </c>
      <c r="P131" s="21" t="s">
        <v>486</v>
      </c>
      <c r="Q131" s="20" t="s">
        <v>53</v>
      </c>
      <c r="R131" s="21" t="s">
        <v>1117</v>
      </c>
    </row>
    <row r="132" spans="1:18" s="21" customFormat="1" x14ac:dyDescent="0.35">
      <c r="A132" s="21">
        <f>IF(D132="","",ROW()-1)</f>
        <v>131</v>
      </c>
      <c r="B132" s="21" t="s">
        <v>35</v>
      </c>
      <c r="C132" s="21" t="s">
        <v>1351</v>
      </c>
      <c r="D132" s="21" t="s">
        <v>20</v>
      </c>
      <c r="E132" s="21" t="s">
        <v>487</v>
      </c>
      <c r="F132" s="21" t="s">
        <v>488</v>
      </c>
      <c r="G132" s="21" t="s">
        <v>489</v>
      </c>
      <c r="H132" s="20" t="s">
        <v>490</v>
      </c>
      <c r="I132" s="20" t="s">
        <v>491</v>
      </c>
      <c r="J132" s="21">
        <v>65</v>
      </c>
      <c r="K132" s="21">
        <v>1</v>
      </c>
      <c r="L132" s="34">
        <v>15</v>
      </c>
      <c r="M132" s="20" t="s">
        <v>49</v>
      </c>
      <c r="N132" s="20" t="s">
        <v>50</v>
      </c>
      <c r="O132" s="21" t="s">
        <v>492</v>
      </c>
      <c r="P132" s="21" t="s">
        <v>493</v>
      </c>
      <c r="Q132" s="20" t="s">
        <v>53</v>
      </c>
      <c r="R132" s="21" t="s">
        <v>1117</v>
      </c>
    </row>
    <row r="133" spans="1:18" s="21" customFormat="1" x14ac:dyDescent="0.35">
      <c r="A133" s="21">
        <f>IF(D133="","",ROW()-1)</f>
        <v>132</v>
      </c>
      <c r="B133" s="21" t="s">
        <v>35</v>
      </c>
      <c r="C133" s="21" t="s">
        <v>1351</v>
      </c>
      <c r="D133" s="21" t="s">
        <v>20</v>
      </c>
      <c r="E133" s="21" t="s">
        <v>487</v>
      </c>
      <c r="F133" s="21" t="s">
        <v>401</v>
      </c>
      <c r="G133" s="21" t="s">
        <v>494</v>
      </c>
      <c r="H133" s="20" t="s">
        <v>495</v>
      </c>
      <c r="I133" s="20" t="s">
        <v>496</v>
      </c>
      <c r="J133" s="21">
        <v>45</v>
      </c>
      <c r="K133" s="21">
        <v>2</v>
      </c>
      <c r="L133" s="34">
        <v>30</v>
      </c>
      <c r="M133" s="20" t="s">
        <v>49</v>
      </c>
      <c r="N133" s="20" t="s">
        <v>50</v>
      </c>
      <c r="O133" s="21" t="s">
        <v>497</v>
      </c>
      <c r="P133" s="21" t="s">
        <v>498</v>
      </c>
      <c r="Q133" s="20" t="s">
        <v>53</v>
      </c>
      <c r="R133" s="21" t="s">
        <v>1117</v>
      </c>
    </row>
    <row r="134" spans="1:18" s="21" customFormat="1" x14ac:dyDescent="0.35">
      <c r="A134" s="21">
        <f>IF(D134="","",ROW()-1)</f>
        <v>133</v>
      </c>
      <c r="B134" s="21" t="s">
        <v>35</v>
      </c>
      <c r="C134" s="21" t="s">
        <v>1351</v>
      </c>
      <c r="D134" s="21" t="s">
        <v>20</v>
      </c>
      <c r="E134" s="21" t="s">
        <v>499</v>
      </c>
      <c r="F134" s="21" t="s">
        <v>500</v>
      </c>
      <c r="G134" s="21" t="s">
        <v>501</v>
      </c>
      <c r="H134" s="20" t="s">
        <v>502</v>
      </c>
      <c r="I134" s="20" t="s">
        <v>503</v>
      </c>
      <c r="J134" s="21">
        <v>31</v>
      </c>
      <c r="K134" s="21">
        <v>3</v>
      </c>
      <c r="L134" s="34">
        <v>45</v>
      </c>
      <c r="M134" s="20" t="s">
        <v>49</v>
      </c>
      <c r="N134" s="20" t="s">
        <v>50</v>
      </c>
      <c r="O134" s="21" t="s">
        <v>504</v>
      </c>
      <c r="P134" s="21" t="s">
        <v>505</v>
      </c>
      <c r="Q134" s="20" t="s">
        <v>53</v>
      </c>
      <c r="R134" s="21" t="s">
        <v>1117</v>
      </c>
    </row>
    <row r="135" spans="1:18" s="21" customFormat="1" x14ac:dyDescent="0.35">
      <c r="A135" s="21">
        <f>IF(D135="","",ROW()-1)</f>
        <v>134</v>
      </c>
      <c r="B135" s="21" t="s">
        <v>35</v>
      </c>
      <c r="C135" s="21" t="s">
        <v>1351</v>
      </c>
      <c r="D135" s="21" t="s">
        <v>32</v>
      </c>
      <c r="E135" s="21" t="s">
        <v>506</v>
      </c>
      <c r="F135" s="21" t="s">
        <v>386</v>
      </c>
      <c r="G135" s="21" t="s">
        <v>507</v>
      </c>
      <c r="H135" s="20" t="s">
        <v>508</v>
      </c>
      <c r="I135" s="20" t="s">
        <v>509</v>
      </c>
      <c r="J135" s="21">
        <v>30</v>
      </c>
      <c r="K135" s="21">
        <v>5</v>
      </c>
      <c r="L135" s="34">
        <v>75</v>
      </c>
      <c r="M135" s="20" t="s">
        <v>49</v>
      </c>
      <c r="N135" s="20" t="s">
        <v>50</v>
      </c>
      <c r="O135" s="21" t="s">
        <v>510</v>
      </c>
      <c r="P135" s="21" t="s">
        <v>511</v>
      </c>
      <c r="Q135" s="20" t="s">
        <v>53</v>
      </c>
      <c r="R135" s="21" t="s">
        <v>1117</v>
      </c>
    </row>
    <row r="136" spans="1:18" s="21" customFormat="1" x14ac:dyDescent="0.35">
      <c r="A136" s="21">
        <f>IF(D136="","",ROW()-1)</f>
        <v>135</v>
      </c>
      <c r="B136" s="21" t="s">
        <v>35</v>
      </c>
      <c r="C136" s="21" t="s">
        <v>1351</v>
      </c>
      <c r="D136" s="21" t="s">
        <v>32</v>
      </c>
      <c r="F136" s="21" t="s">
        <v>512</v>
      </c>
      <c r="G136" s="21" t="s">
        <v>513</v>
      </c>
      <c r="H136" s="20" t="s">
        <v>514</v>
      </c>
      <c r="I136" s="20" t="s">
        <v>515</v>
      </c>
      <c r="J136" s="21">
        <v>22</v>
      </c>
      <c r="K136" s="21">
        <v>5</v>
      </c>
      <c r="L136" s="34">
        <v>75</v>
      </c>
      <c r="M136" s="20" t="s">
        <v>49</v>
      </c>
      <c r="N136" s="20" t="s">
        <v>50</v>
      </c>
      <c r="O136" s="21" t="s">
        <v>516</v>
      </c>
      <c r="P136" s="21" t="s">
        <v>517</v>
      </c>
      <c r="Q136" s="20" t="s">
        <v>53</v>
      </c>
      <c r="R136" s="21" t="s">
        <v>1117</v>
      </c>
    </row>
    <row r="137" spans="1:18" s="21" customFormat="1" x14ac:dyDescent="0.35">
      <c r="A137" s="21">
        <f>IF(D137="","",ROW()-1)</f>
        <v>136</v>
      </c>
      <c r="B137" s="21" t="s">
        <v>35</v>
      </c>
      <c r="C137" s="21" t="s">
        <v>1351</v>
      </c>
      <c r="D137" s="21" t="s">
        <v>32</v>
      </c>
      <c r="E137" s="21" t="s">
        <v>518</v>
      </c>
      <c r="F137" s="21" t="s">
        <v>80</v>
      </c>
      <c r="G137" s="21" t="s">
        <v>519</v>
      </c>
      <c r="H137" s="20" t="s">
        <v>520</v>
      </c>
      <c r="I137" s="20" t="s">
        <v>521</v>
      </c>
      <c r="J137" s="21">
        <v>25</v>
      </c>
      <c r="K137" s="21">
        <v>10</v>
      </c>
      <c r="L137" s="34">
        <v>150</v>
      </c>
      <c r="M137" s="20" t="s">
        <v>49</v>
      </c>
      <c r="N137" s="20" t="s">
        <v>50</v>
      </c>
      <c r="O137" s="21" t="s">
        <v>522</v>
      </c>
      <c r="P137" s="21" t="s">
        <v>523</v>
      </c>
      <c r="Q137" s="20" t="s">
        <v>53</v>
      </c>
      <c r="R137" s="21" t="s">
        <v>1117</v>
      </c>
    </row>
    <row r="138" spans="1:18" s="21" customFormat="1" x14ac:dyDescent="0.35">
      <c r="A138" s="21">
        <f>IF(D138="","",ROW()-1)</f>
        <v>137</v>
      </c>
      <c r="B138" s="21" t="s">
        <v>35</v>
      </c>
      <c r="C138" s="21" t="s">
        <v>1351</v>
      </c>
      <c r="D138" s="21" t="s">
        <v>32</v>
      </c>
      <c r="E138" s="21" t="s">
        <v>518</v>
      </c>
      <c r="F138" s="21" t="s">
        <v>524</v>
      </c>
      <c r="G138" s="21" t="s">
        <v>525</v>
      </c>
      <c r="H138" s="20" t="s">
        <v>526</v>
      </c>
      <c r="I138" s="20" t="s">
        <v>527</v>
      </c>
      <c r="J138" s="21">
        <v>25</v>
      </c>
      <c r="K138" s="21">
        <v>10</v>
      </c>
      <c r="L138" s="34">
        <v>150</v>
      </c>
      <c r="M138" s="20" t="s">
        <v>49</v>
      </c>
      <c r="N138" s="20" t="s">
        <v>50</v>
      </c>
      <c r="O138" s="21" t="s">
        <v>528</v>
      </c>
      <c r="P138" s="21" t="s">
        <v>529</v>
      </c>
      <c r="Q138" s="20" t="s">
        <v>53</v>
      </c>
      <c r="R138" s="21" t="s">
        <v>1117</v>
      </c>
    </row>
    <row r="139" spans="1:18" s="21" customFormat="1" x14ac:dyDescent="0.35">
      <c r="A139" s="21">
        <f>IF(D139="","",ROW()-1)</f>
        <v>138</v>
      </c>
      <c r="B139" s="21" t="s">
        <v>35</v>
      </c>
      <c r="C139" s="21" t="s">
        <v>1351</v>
      </c>
      <c r="D139" s="21" t="s">
        <v>32</v>
      </c>
      <c r="E139" s="21" t="s">
        <v>530</v>
      </c>
      <c r="F139" s="21" t="s">
        <v>531</v>
      </c>
      <c r="G139" s="21" t="s">
        <v>532</v>
      </c>
      <c r="H139" s="20" t="s">
        <v>533</v>
      </c>
      <c r="I139" s="20" t="s">
        <v>534</v>
      </c>
      <c r="J139" s="21">
        <v>17</v>
      </c>
      <c r="K139" s="21">
        <v>10</v>
      </c>
      <c r="L139" s="34">
        <v>150</v>
      </c>
      <c r="M139" s="20" t="s">
        <v>49</v>
      </c>
      <c r="N139" s="20" t="s">
        <v>50</v>
      </c>
      <c r="O139" s="21" t="s">
        <v>535</v>
      </c>
      <c r="P139" s="21" t="s">
        <v>536</v>
      </c>
      <c r="Q139" s="20" t="s">
        <v>53</v>
      </c>
      <c r="R139" s="21" t="s">
        <v>1117</v>
      </c>
    </row>
    <row r="140" spans="1:18" s="21" customFormat="1" x14ac:dyDescent="0.35">
      <c r="A140" s="21">
        <f>IF(D140="","",ROW()-1)</f>
        <v>139</v>
      </c>
      <c r="B140" s="21" t="s">
        <v>35</v>
      </c>
      <c r="C140" s="21" t="s">
        <v>1351</v>
      </c>
      <c r="D140" s="21" t="s">
        <v>32</v>
      </c>
      <c r="E140" s="21" t="s">
        <v>530</v>
      </c>
      <c r="F140" s="21" t="s">
        <v>188</v>
      </c>
      <c r="G140" s="21" t="s">
        <v>537</v>
      </c>
      <c r="H140" s="20" t="s">
        <v>538</v>
      </c>
      <c r="I140" s="20" t="s">
        <v>539</v>
      </c>
      <c r="J140" s="21">
        <v>21</v>
      </c>
      <c r="K140" s="21">
        <v>10</v>
      </c>
      <c r="L140" s="34">
        <v>150</v>
      </c>
      <c r="M140" s="20" t="s">
        <v>49</v>
      </c>
      <c r="N140" s="20" t="s">
        <v>50</v>
      </c>
      <c r="O140" s="21" t="s">
        <v>540</v>
      </c>
      <c r="P140" s="21" t="s">
        <v>541</v>
      </c>
      <c r="Q140" s="20" t="s">
        <v>53</v>
      </c>
      <c r="R140" s="21" t="s">
        <v>1117</v>
      </c>
    </row>
    <row r="141" spans="1:18" s="21" customFormat="1" x14ac:dyDescent="0.35">
      <c r="A141" s="21">
        <f>IF(D141="","",ROW()-1)</f>
        <v>140</v>
      </c>
      <c r="B141" s="21" t="s">
        <v>35</v>
      </c>
      <c r="C141" s="21" t="s">
        <v>1351</v>
      </c>
      <c r="D141" s="21" t="s">
        <v>32</v>
      </c>
      <c r="E141" s="21" t="s">
        <v>530</v>
      </c>
      <c r="F141" s="21" t="s">
        <v>542</v>
      </c>
      <c r="G141" s="21" t="s">
        <v>543</v>
      </c>
      <c r="H141" s="20" t="s">
        <v>544</v>
      </c>
      <c r="I141" s="20" t="s">
        <v>545</v>
      </c>
      <c r="J141" s="21">
        <v>25</v>
      </c>
      <c r="K141" s="21">
        <v>10</v>
      </c>
      <c r="L141" s="34">
        <v>150</v>
      </c>
      <c r="M141" s="20" t="s">
        <v>49</v>
      </c>
      <c r="N141" s="20" t="s">
        <v>50</v>
      </c>
      <c r="O141" s="21" t="s">
        <v>546</v>
      </c>
      <c r="P141" s="21" t="s">
        <v>547</v>
      </c>
      <c r="Q141" s="20" t="s">
        <v>53</v>
      </c>
      <c r="R141" s="21" t="s">
        <v>1117</v>
      </c>
    </row>
    <row r="142" spans="1:18" s="21" customFormat="1" x14ac:dyDescent="0.35">
      <c r="A142" s="21">
        <f>IF(D142="","",ROW()-1)</f>
        <v>141</v>
      </c>
      <c r="B142" s="21" t="s">
        <v>35</v>
      </c>
      <c r="C142" s="21" t="s">
        <v>1351</v>
      </c>
      <c r="D142" s="21" t="s">
        <v>32</v>
      </c>
      <c r="E142" s="21" t="s">
        <v>548</v>
      </c>
      <c r="F142" s="21" t="s">
        <v>359</v>
      </c>
      <c r="G142" s="21" t="s">
        <v>549</v>
      </c>
      <c r="H142" s="20" t="s">
        <v>550</v>
      </c>
      <c r="I142" s="20" t="s">
        <v>551</v>
      </c>
      <c r="J142" s="21">
        <v>27</v>
      </c>
      <c r="K142" s="21">
        <v>15</v>
      </c>
      <c r="L142" s="34">
        <v>225</v>
      </c>
      <c r="M142" s="20" t="s">
        <v>49</v>
      </c>
      <c r="N142" s="20" t="s">
        <v>50</v>
      </c>
      <c r="O142" s="21" t="s">
        <v>552</v>
      </c>
      <c r="P142" s="21" t="s">
        <v>553</v>
      </c>
      <c r="Q142" s="20" t="s">
        <v>53</v>
      </c>
      <c r="R142" s="21" t="s">
        <v>1117</v>
      </c>
    </row>
    <row r="143" spans="1:18" s="21" customFormat="1" x14ac:dyDescent="0.35">
      <c r="A143" s="21">
        <f>IF(D143="","",ROW()-1)</f>
        <v>142</v>
      </c>
      <c r="B143" s="21" t="s">
        <v>35</v>
      </c>
      <c r="C143" s="21" t="s">
        <v>1351</v>
      </c>
      <c r="D143" s="21" t="s">
        <v>32</v>
      </c>
      <c r="E143" s="21" t="s">
        <v>554</v>
      </c>
      <c r="F143" s="21" t="s">
        <v>555</v>
      </c>
      <c r="G143" s="21" t="s">
        <v>556</v>
      </c>
      <c r="H143" s="20" t="s">
        <v>557</v>
      </c>
      <c r="I143" s="20" t="s">
        <v>558</v>
      </c>
      <c r="J143" s="21">
        <v>25</v>
      </c>
      <c r="K143" s="21">
        <v>15</v>
      </c>
      <c r="L143" s="34">
        <v>225</v>
      </c>
      <c r="M143" s="20" t="s">
        <v>49</v>
      </c>
      <c r="N143" s="20" t="s">
        <v>50</v>
      </c>
      <c r="O143" s="21" t="s">
        <v>559</v>
      </c>
      <c r="P143" s="21" t="s">
        <v>560</v>
      </c>
      <c r="Q143" s="20" t="s">
        <v>53</v>
      </c>
      <c r="R143" s="21" t="s">
        <v>1117</v>
      </c>
    </row>
    <row r="144" spans="1:18" s="21" customFormat="1" x14ac:dyDescent="0.35">
      <c r="A144" s="21">
        <f>IF(D144="","",ROW()-1)</f>
        <v>143</v>
      </c>
      <c r="B144" s="21" t="s">
        <v>35</v>
      </c>
      <c r="C144" s="21" t="s">
        <v>1351</v>
      </c>
      <c r="D144" s="21" t="s">
        <v>32</v>
      </c>
      <c r="E144" s="21" t="s">
        <v>554</v>
      </c>
      <c r="F144" s="21" t="s">
        <v>99</v>
      </c>
      <c r="G144" s="21" t="s">
        <v>561</v>
      </c>
      <c r="H144" s="20" t="s">
        <v>562</v>
      </c>
      <c r="I144" s="20" t="s">
        <v>563</v>
      </c>
      <c r="J144" s="21">
        <v>27</v>
      </c>
      <c r="K144" s="21">
        <v>15</v>
      </c>
      <c r="L144" s="34">
        <v>225</v>
      </c>
      <c r="M144" s="20" t="s">
        <v>49</v>
      </c>
      <c r="N144" s="20" t="s">
        <v>50</v>
      </c>
      <c r="O144" s="21" t="s">
        <v>564</v>
      </c>
      <c r="P144" s="21" t="s">
        <v>565</v>
      </c>
      <c r="Q144" s="20" t="s">
        <v>53</v>
      </c>
      <c r="R144" s="21" t="s">
        <v>1117</v>
      </c>
    </row>
    <row r="145" spans="1:18" s="21" customFormat="1" x14ac:dyDescent="0.35">
      <c r="A145" s="21">
        <f>IF(D145="","",ROW()-1)</f>
        <v>144</v>
      </c>
      <c r="B145" s="21" t="s">
        <v>35</v>
      </c>
      <c r="C145" s="21" t="s">
        <v>1351</v>
      </c>
      <c r="D145" s="21" t="s">
        <v>32</v>
      </c>
      <c r="E145" s="21" t="s">
        <v>566</v>
      </c>
      <c r="F145" s="21" t="s">
        <v>188</v>
      </c>
      <c r="G145" s="21" t="s">
        <v>567</v>
      </c>
      <c r="H145" s="20" t="s">
        <v>568</v>
      </c>
      <c r="I145" s="20" t="s">
        <v>563</v>
      </c>
      <c r="J145" s="21">
        <v>38</v>
      </c>
      <c r="K145" s="21">
        <v>15</v>
      </c>
      <c r="L145" s="34">
        <v>225</v>
      </c>
      <c r="M145" s="20" t="s">
        <v>49</v>
      </c>
      <c r="N145" s="20" t="s">
        <v>50</v>
      </c>
      <c r="O145" s="21" t="s">
        <v>569</v>
      </c>
      <c r="P145" s="21" t="s">
        <v>570</v>
      </c>
      <c r="Q145" s="20" t="s">
        <v>53</v>
      </c>
      <c r="R145" s="21" t="s">
        <v>1117</v>
      </c>
    </row>
    <row r="146" spans="1:18" s="21" customFormat="1" x14ac:dyDescent="0.35">
      <c r="A146" s="21">
        <f>IF(D146="","",ROW()-1)</f>
        <v>145</v>
      </c>
      <c r="B146" s="21" t="s">
        <v>35</v>
      </c>
      <c r="C146" s="21" t="s">
        <v>1351</v>
      </c>
      <c r="D146" s="21" t="s">
        <v>32</v>
      </c>
      <c r="E146" s="21" t="s">
        <v>566</v>
      </c>
      <c r="F146" s="21" t="s">
        <v>359</v>
      </c>
      <c r="G146" s="21" t="s">
        <v>571</v>
      </c>
      <c r="H146" s="20" t="s">
        <v>572</v>
      </c>
      <c r="I146" s="20" t="s">
        <v>563</v>
      </c>
      <c r="J146" s="21">
        <v>25</v>
      </c>
      <c r="K146" s="21">
        <v>15</v>
      </c>
      <c r="L146" s="34">
        <v>225</v>
      </c>
      <c r="M146" s="20" t="s">
        <v>49</v>
      </c>
      <c r="N146" s="20" t="s">
        <v>50</v>
      </c>
      <c r="O146" s="21" t="s">
        <v>573</v>
      </c>
      <c r="P146" s="21" t="s">
        <v>574</v>
      </c>
      <c r="Q146" s="20" t="s">
        <v>53</v>
      </c>
      <c r="R146" s="21" t="s">
        <v>1117</v>
      </c>
    </row>
    <row r="147" spans="1:18" s="21" customFormat="1" x14ac:dyDescent="0.35">
      <c r="A147" s="21">
        <f>IF(D147="","",ROW()-1)</f>
        <v>146</v>
      </c>
      <c r="B147" s="21" t="s">
        <v>35</v>
      </c>
      <c r="C147" s="21" t="s">
        <v>1351</v>
      </c>
      <c r="D147" s="21" t="s">
        <v>32</v>
      </c>
      <c r="E147" s="21" t="s">
        <v>575</v>
      </c>
      <c r="F147" s="21" t="s">
        <v>576</v>
      </c>
      <c r="G147" s="21" t="s">
        <v>577</v>
      </c>
      <c r="H147" s="20" t="s">
        <v>578</v>
      </c>
      <c r="I147" s="20" t="s">
        <v>563</v>
      </c>
      <c r="J147" s="21">
        <v>22</v>
      </c>
      <c r="K147" s="21">
        <v>15</v>
      </c>
      <c r="L147" s="34">
        <v>225</v>
      </c>
      <c r="M147" s="20" t="s">
        <v>49</v>
      </c>
      <c r="N147" s="20" t="s">
        <v>50</v>
      </c>
      <c r="O147" s="21" t="s">
        <v>579</v>
      </c>
      <c r="P147" s="21" t="s">
        <v>580</v>
      </c>
      <c r="Q147" s="20" t="s">
        <v>53</v>
      </c>
      <c r="R147" s="21" t="s">
        <v>1117</v>
      </c>
    </row>
    <row r="148" spans="1:18" s="21" customFormat="1" x14ac:dyDescent="0.35">
      <c r="A148" s="21">
        <f>IF(D148="","",ROW()-1)</f>
        <v>147</v>
      </c>
      <c r="B148" s="21" t="s">
        <v>35</v>
      </c>
      <c r="C148" s="21" t="s">
        <v>1351</v>
      </c>
      <c r="D148" s="21" t="s">
        <v>32</v>
      </c>
      <c r="E148" s="21" t="s">
        <v>575</v>
      </c>
      <c r="F148" s="21" t="s">
        <v>438</v>
      </c>
      <c r="G148" s="21" t="s">
        <v>581</v>
      </c>
      <c r="H148" s="20" t="s">
        <v>582</v>
      </c>
      <c r="I148" s="20" t="s">
        <v>563</v>
      </c>
      <c r="J148" s="21">
        <v>16</v>
      </c>
      <c r="K148" s="21">
        <v>25</v>
      </c>
      <c r="L148" s="34">
        <v>375</v>
      </c>
      <c r="M148" s="20" t="s">
        <v>49</v>
      </c>
      <c r="N148" s="20" t="s">
        <v>50</v>
      </c>
      <c r="O148" s="21" t="s">
        <v>583</v>
      </c>
      <c r="P148" s="21" t="s">
        <v>584</v>
      </c>
      <c r="Q148" s="20" t="s">
        <v>53</v>
      </c>
      <c r="R148" s="21" t="s">
        <v>1117</v>
      </c>
    </row>
    <row r="149" spans="1:18" s="21" customFormat="1" x14ac:dyDescent="0.35">
      <c r="A149" s="21">
        <f>IF(D149="","",ROW()-1)</f>
        <v>148</v>
      </c>
      <c r="B149" s="21" t="s">
        <v>35</v>
      </c>
      <c r="C149" s="21" t="s">
        <v>1351</v>
      </c>
      <c r="D149" s="21" t="s">
        <v>32</v>
      </c>
      <c r="E149" s="21" t="s">
        <v>585</v>
      </c>
      <c r="F149" s="21" t="s">
        <v>333</v>
      </c>
      <c r="G149" s="21" t="s">
        <v>586</v>
      </c>
      <c r="H149" s="20" t="s">
        <v>587</v>
      </c>
      <c r="I149" s="20" t="s">
        <v>563</v>
      </c>
      <c r="J149" s="21">
        <v>29</v>
      </c>
      <c r="K149" s="21">
        <v>20</v>
      </c>
      <c r="L149" s="34">
        <v>300</v>
      </c>
      <c r="M149" s="20" t="s">
        <v>49</v>
      </c>
      <c r="N149" s="20" t="s">
        <v>50</v>
      </c>
      <c r="O149" s="21" t="s">
        <v>588</v>
      </c>
      <c r="P149" s="21" t="s">
        <v>589</v>
      </c>
      <c r="Q149" s="20" t="s">
        <v>53</v>
      </c>
      <c r="R149" s="21" t="s">
        <v>1117</v>
      </c>
    </row>
    <row r="150" spans="1:18" s="21" customFormat="1" x14ac:dyDescent="0.35">
      <c r="A150" s="21">
        <f>IF(D150="","",ROW()-1)</f>
        <v>149</v>
      </c>
      <c r="B150" s="21" t="s">
        <v>35</v>
      </c>
      <c r="C150" s="21" t="s">
        <v>1351</v>
      </c>
      <c r="D150" s="21" t="s">
        <v>32</v>
      </c>
      <c r="E150" s="21" t="s">
        <v>585</v>
      </c>
      <c r="F150" s="21" t="s">
        <v>590</v>
      </c>
      <c r="G150" s="21" t="s">
        <v>591</v>
      </c>
      <c r="H150" s="20" t="s">
        <v>592</v>
      </c>
      <c r="I150" s="20" t="s">
        <v>563</v>
      </c>
      <c r="J150" s="21">
        <v>35</v>
      </c>
      <c r="K150" s="21">
        <v>20</v>
      </c>
      <c r="L150" s="34">
        <v>300</v>
      </c>
      <c r="M150" s="20" t="s">
        <v>49</v>
      </c>
      <c r="N150" s="20" t="s">
        <v>50</v>
      </c>
      <c r="O150" s="21" t="s">
        <v>593</v>
      </c>
      <c r="P150" s="21" t="s">
        <v>594</v>
      </c>
      <c r="Q150" s="20" t="s">
        <v>53</v>
      </c>
      <c r="R150" s="21" t="s">
        <v>1117</v>
      </c>
    </row>
    <row r="151" spans="1:18" s="21" customFormat="1" x14ac:dyDescent="0.35">
      <c r="A151" s="21">
        <f>IF(D151="","",ROW()-1)</f>
        <v>150</v>
      </c>
      <c r="B151" s="21" t="s">
        <v>35</v>
      </c>
      <c r="C151" s="21" t="s">
        <v>1351</v>
      </c>
      <c r="D151" s="21" t="s">
        <v>32</v>
      </c>
      <c r="E151" s="21" t="s">
        <v>595</v>
      </c>
      <c r="F151" s="21" t="s">
        <v>596</v>
      </c>
      <c r="G151" s="21" t="s">
        <v>597</v>
      </c>
      <c r="H151" s="20" t="s">
        <v>598</v>
      </c>
      <c r="I151" s="20" t="s">
        <v>599</v>
      </c>
      <c r="J151" s="21">
        <v>12</v>
      </c>
      <c r="K151" s="21">
        <v>25</v>
      </c>
      <c r="L151" s="34">
        <v>375</v>
      </c>
      <c r="M151" s="20" t="s">
        <v>49</v>
      </c>
      <c r="N151" s="20" t="s">
        <v>50</v>
      </c>
      <c r="O151" s="21" t="s">
        <v>600</v>
      </c>
      <c r="P151" s="21" t="s">
        <v>601</v>
      </c>
      <c r="Q151" s="20" t="s">
        <v>53</v>
      </c>
      <c r="R151" s="21" t="s">
        <v>1117</v>
      </c>
    </row>
    <row r="152" spans="1:18" s="21" customFormat="1" x14ac:dyDescent="0.35">
      <c r="A152" s="21">
        <f>IF(D152="","",ROW()-1)</f>
        <v>151</v>
      </c>
      <c r="B152" s="21" t="s">
        <v>35</v>
      </c>
      <c r="C152" s="21" t="s">
        <v>1351</v>
      </c>
      <c r="D152" s="21" t="s">
        <v>32</v>
      </c>
      <c r="E152" s="21" t="s">
        <v>602</v>
      </c>
      <c r="F152" s="21" t="s">
        <v>603</v>
      </c>
      <c r="G152" s="21" t="s">
        <v>604</v>
      </c>
      <c r="H152" s="20" t="s">
        <v>605</v>
      </c>
      <c r="I152" s="20" t="s">
        <v>606</v>
      </c>
      <c r="J152" s="21">
        <v>13</v>
      </c>
      <c r="K152" s="21">
        <v>25</v>
      </c>
      <c r="L152" s="34">
        <v>375</v>
      </c>
      <c r="M152" s="20" t="s">
        <v>49</v>
      </c>
      <c r="N152" s="20" t="s">
        <v>50</v>
      </c>
      <c r="O152" s="21" t="s">
        <v>607</v>
      </c>
      <c r="P152" s="21" t="s">
        <v>608</v>
      </c>
      <c r="Q152" s="20" t="s">
        <v>53</v>
      </c>
      <c r="R152" s="21" t="s">
        <v>1117</v>
      </c>
    </row>
    <row r="153" spans="1:18" s="21" customFormat="1" x14ac:dyDescent="0.35">
      <c r="A153" s="21">
        <f>IF(D153="","",ROW()-1)</f>
        <v>152</v>
      </c>
      <c r="B153" s="21" t="s">
        <v>35</v>
      </c>
      <c r="C153" s="21" t="s">
        <v>1351</v>
      </c>
      <c r="D153" s="21" t="s">
        <v>32</v>
      </c>
      <c r="E153" s="21" t="s">
        <v>609</v>
      </c>
      <c r="F153" s="21" t="s">
        <v>610</v>
      </c>
      <c r="G153" s="21" t="s">
        <v>611</v>
      </c>
      <c r="H153" s="20" t="s">
        <v>612</v>
      </c>
      <c r="I153" s="20" t="s">
        <v>613</v>
      </c>
      <c r="J153" s="21">
        <v>20</v>
      </c>
      <c r="K153" s="21">
        <v>20</v>
      </c>
      <c r="L153" s="34">
        <v>300</v>
      </c>
      <c r="M153" s="20" t="s">
        <v>49</v>
      </c>
      <c r="N153" s="20" t="s">
        <v>50</v>
      </c>
      <c r="O153" s="21" t="s">
        <v>614</v>
      </c>
      <c r="P153" s="21" t="s">
        <v>615</v>
      </c>
      <c r="Q153" s="20" t="s">
        <v>53</v>
      </c>
      <c r="R153" s="21" t="s">
        <v>1117</v>
      </c>
    </row>
    <row r="154" spans="1:18" s="21" customFormat="1" x14ac:dyDescent="0.35">
      <c r="A154" s="21">
        <f>IF(D154="","",ROW()-1)</f>
        <v>153</v>
      </c>
      <c r="B154" s="21" t="s">
        <v>35</v>
      </c>
      <c r="C154" s="21" t="s">
        <v>1351</v>
      </c>
      <c r="D154" s="21" t="s">
        <v>32</v>
      </c>
      <c r="E154" s="21" t="s">
        <v>616</v>
      </c>
      <c r="F154" s="21" t="s">
        <v>617</v>
      </c>
      <c r="G154" s="21" t="s">
        <v>618</v>
      </c>
      <c r="H154" s="20" t="s">
        <v>619</v>
      </c>
      <c r="I154" s="20" t="s">
        <v>620</v>
      </c>
      <c r="J154" s="21">
        <v>20</v>
      </c>
      <c r="K154" s="21">
        <v>25</v>
      </c>
      <c r="L154" s="34">
        <v>375</v>
      </c>
      <c r="M154" s="20" t="s">
        <v>49</v>
      </c>
      <c r="N154" s="20" t="s">
        <v>50</v>
      </c>
      <c r="O154" s="21" t="s">
        <v>621</v>
      </c>
      <c r="P154" s="21" t="s">
        <v>622</v>
      </c>
      <c r="Q154" s="20" t="s">
        <v>53</v>
      </c>
      <c r="R154" s="21" t="s">
        <v>1117</v>
      </c>
    </row>
    <row r="155" spans="1:18" s="21" customFormat="1" x14ac:dyDescent="0.35">
      <c r="A155" s="21">
        <f>IF(D155="","",ROW()-1)</f>
        <v>154</v>
      </c>
      <c r="B155" s="21" t="s">
        <v>35</v>
      </c>
      <c r="C155" s="21" t="s">
        <v>1351</v>
      </c>
      <c r="D155" s="21" t="s">
        <v>32</v>
      </c>
      <c r="E155" s="21" t="s">
        <v>616</v>
      </c>
      <c r="F155" s="21" t="s">
        <v>80</v>
      </c>
      <c r="G155" s="21" t="s">
        <v>623</v>
      </c>
      <c r="H155" s="20" t="s">
        <v>624</v>
      </c>
      <c r="I155" s="20" t="s">
        <v>625</v>
      </c>
      <c r="J155" s="21">
        <v>17</v>
      </c>
      <c r="K155" s="21">
        <v>25</v>
      </c>
      <c r="L155" s="34">
        <v>375</v>
      </c>
      <c r="M155" s="20" t="s">
        <v>49</v>
      </c>
      <c r="N155" s="20" t="s">
        <v>50</v>
      </c>
      <c r="O155" s="21" t="s">
        <v>626</v>
      </c>
      <c r="P155" s="21" t="s">
        <v>627</v>
      </c>
      <c r="Q155" s="20" t="s">
        <v>53</v>
      </c>
      <c r="R155" s="21" t="s">
        <v>1117</v>
      </c>
    </row>
    <row r="156" spans="1:18" s="21" customFormat="1" x14ac:dyDescent="0.35">
      <c r="A156" s="21">
        <f>IF(D156="","",ROW()-1)</f>
        <v>155</v>
      </c>
      <c r="B156" s="21" t="s">
        <v>35</v>
      </c>
      <c r="C156" s="21" t="s">
        <v>1351</v>
      </c>
      <c r="D156" s="21" t="s">
        <v>32</v>
      </c>
      <c r="E156" s="21" t="s">
        <v>628</v>
      </c>
      <c r="F156" s="21" t="s">
        <v>629</v>
      </c>
      <c r="G156" s="21" t="s">
        <v>630</v>
      </c>
      <c r="H156" s="20" t="s">
        <v>631</v>
      </c>
      <c r="I156" s="20" t="s">
        <v>632</v>
      </c>
      <c r="J156" s="21">
        <v>32</v>
      </c>
      <c r="K156" s="21">
        <v>25</v>
      </c>
      <c r="L156" s="34">
        <v>375</v>
      </c>
      <c r="M156" s="20" t="s">
        <v>49</v>
      </c>
      <c r="N156" s="20" t="s">
        <v>50</v>
      </c>
      <c r="O156" s="21" t="s">
        <v>633</v>
      </c>
      <c r="P156" s="21" t="s">
        <v>634</v>
      </c>
      <c r="Q156" s="20" t="s">
        <v>53</v>
      </c>
      <c r="R156" s="21" t="s">
        <v>1117</v>
      </c>
    </row>
    <row r="157" spans="1:18" s="21" customFormat="1" x14ac:dyDescent="0.35">
      <c r="A157" s="21">
        <f>IF(D157="","",ROW()-1)</f>
        <v>156</v>
      </c>
      <c r="B157" s="21" t="s">
        <v>35</v>
      </c>
      <c r="C157" s="21" t="s">
        <v>1351</v>
      </c>
      <c r="D157" s="21" t="s">
        <v>32</v>
      </c>
      <c r="E157" s="21" t="s">
        <v>628</v>
      </c>
      <c r="F157" s="21" t="s">
        <v>635</v>
      </c>
      <c r="G157" s="21" t="s">
        <v>636</v>
      </c>
      <c r="H157" s="20" t="s">
        <v>637</v>
      </c>
      <c r="I157" s="20" t="s">
        <v>638</v>
      </c>
      <c r="J157" s="21">
        <v>22</v>
      </c>
      <c r="K157" s="21">
        <v>20</v>
      </c>
      <c r="L157" s="34">
        <v>300</v>
      </c>
      <c r="M157" s="20" t="s">
        <v>49</v>
      </c>
      <c r="N157" s="20" t="s">
        <v>50</v>
      </c>
      <c r="O157" s="21" t="s">
        <v>639</v>
      </c>
      <c r="P157" s="21" t="s">
        <v>640</v>
      </c>
      <c r="Q157" s="20" t="s">
        <v>53</v>
      </c>
      <c r="R157" s="21" t="s">
        <v>1117</v>
      </c>
    </row>
    <row r="158" spans="1:18" s="21" customFormat="1" x14ac:dyDescent="0.35">
      <c r="A158" s="21">
        <f>IF(D158="","",ROW()-1)</f>
        <v>157</v>
      </c>
      <c r="B158" s="21" t="s">
        <v>35</v>
      </c>
      <c r="C158" s="21" t="s">
        <v>1351</v>
      </c>
      <c r="D158" s="21" t="s">
        <v>32</v>
      </c>
      <c r="E158" s="21" t="s">
        <v>641</v>
      </c>
      <c r="F158" s="21" t="s">
        <v>249</v>
      </c>
      <c r="G158" s="21" t="s">
        <v>642</v>
      </c>
      <c r="H158" s="20" t="s">
        <v>643</v>
      </c>
      <c r="I158" s="20" t="s">
        <v>644</v>
      </c>
      <c r="J158" s="21">
        <v>23</v>
      </c>
      <c r="K158" s="21">
        <v>15</v>
      </c>
      <c r="L158" s="34">
        <v>225</v>
      </c>
      <c r="M158" s="20" t="s">
        <v>49</v>
      </c>
      <c r="N158" s="20" t="s">
        <v>50</v>
      </c>
      <c r="O158" s="21" t="s">
        <v>645</v>
      </c>
      <c r="P158" s="21" t="s">
        <v>646</v>
      </c>
      <c r="Q158" s="20" t="s">
        <v>53</v>
      </c>
      <c r="R158" s="21" t="s">
        <v>1117</v>
      </c>
    </row>
    <row r="159" spans="1:18" s="21" customFormat="1" x14ac:dyDescent="0.35">
      <c r="A159" s="21">
        <f>IF(D159="","",ROW()-1)</f>
        <v>158</v>
      </c>
      <c r="B159" s="21" t="s">
        <v>35</v>
      </c>
      <c r="C159" s="21" t="s">
        <v>1351</v>
      </c>
      <c r="D159" s="21" t="s">
        <v>32</v>
      </c>
      <c r="E159" s="21" t="s">
        <v>647</v>
      </c>
      <c r="F159" s="21" t="s">
        <v>648</v>
      </c>
      <c r="G159" s="21" t="s">
        <v>649</v>
      </c>
      <c r="H159" s="20" t="s">
        <v>650</v>
      </c>
      <c r="I159" s="20" t="s">
        <v>651</v>
      </c>
      <c r="J159" s="21">
        <v>15</v>
      </c>
      <c r="K159" s="21">
        <v>15</v>
      </c>
      <c r="L159" s="34">
        <v>225</v>
      </c>
      <c r="M159" s="20" t="s">
        <v>49</v>
      </c>
      <c r="N159" s="20" t="s">
        <v>50</v>
      </c>
      <c r="O159" s="21" t="s">
        <v>652</v>
      </c>
      <c r="P159" s="21" t="s">
        <v>653</v>
      </c>
      <c r="Q159" s="20" t="s">
        <v>53</v>
      </c>
      <c r="R159" s="21" t="s">
        <v>1117</v>
      </c>
    </row>
    <row r="160" spans="1:18" s="21" customFormat="1" x14ac:dyDescent="0.35">
      <c r="A160" s="21">
        <f>IF(D160="","",ROW()-1)</f>
        <v>159</v>
      </c>
      <c r="B160" s="21" t="s">
        <v>35</v>
      </c>
      <c r="C160" s="21" t="s">
        <v>1351</v>
      </c>
      <c r="D160" s="21" t="s">
        <v>32</v>
      </c>
      <c r="E160" s="21" t="s">
        <v>654</v>
      </c>
      <c r="F160" s="21" t="s">
        <v>188</v>
      </c>
      <c r="G160" s="21" t="s">
        <v>655</v>
      </c>
      <c r="H160" s="20" t="s">
        <v>656</v>
      </c>
      <c r="I160" s="20" t="s">
        <v>638</v>
      </c>
      <c r="J160" s="21">
        <v>16</v>
      </c>
      <c r="K160" s="21">
        <v>20</v>
      </c>
      <c r="L160" s="34">
        <v>300</v>
      </c>
      <c r="M160" s="20" t="s">
        <v>49</v>
      </c>
      <c r="N160" s="20" t="s">
        <v>50</v>
      </c>
      <c r="O160" s="21" t="s">
        <v>657</v>
      </c>
      <c r="P160" s="21" t="s">
        <v>658</v>
      </c>
      <c r="Q160" s="20" t="s">
        <v>53</v>
      </c>
      <c r="R160" s="21" t="s">
        <v>1117</v>
      </c>
    </row>
    <row r="161" spans="1:18" s="21" customFormat="1" x14ac:dyDescent="0.35">
      <c r="A161" s="21">
        <f>IF(D161="","",ROW()-1)</f>
        <v>160</v>
      </c>
      <c r="B161" s="21" t="s">
        <v>35</v>
      </c>
      <c r="C161" s="21" t="s">
        <v>1351</v>
      </c>
      <c r="D161" s="21" t="s">
        <v>32</v>
      </c>
      <c r="E161" s="21" t="s">
        <v>659</v>
      </c>
      <c r="F161" s="21" t="s">
        <v>660</v>
      </c>
      <c r="G161" s="21" t="s">
        <v>661</v>
      </c>
      <c r="H161" s="20" t="s">
        <v>662</v>
      </c>
      <c r="I161" s="20" t="s">
        <v>663</v>
      </c>
      <c r="J161" s="21">
        <v>21</v>
      </c>
      <c r="K161" s="21">
        <v>15</v>
      </c>
      <c r="L161" s="34">
        <v>225</v>
      </c>
      <c r="M161" s="20" t="s">
        <v>49</v>
      </c>
      <c r="N161" s="20" t="s">
        <v>50</v>
      </c>
      <c r="O161" s="21" t="s">
        <v>664</v>
      </c>
      <c r="P161" s="21" t="s">
        <v>665</v>
      </c>
      <c r="Q161" s="20" t="s">
        <v>53</v>
      </c>
      <c r="R161" s="21" t="s">
        <v>1117</v>
      </c>
    </row>
    <row r="162" spans="1:18" s="21" customFormat="1" x14ac:dyDescent="0.35">
      <c r="A162" s="21">
        <f>IF(D162="","",ROW()-1)</f>
        <v>161</v>
      </c>
      <c r="B162" s="21" t="s">
        <v>35</v>
      </c>
      <c r="C162" s="21" t="s">
        <v>1351</v>
      </c>
      <c r="D162" s="21" t="s">
        <v>32</v>
      </c>
      <c r="E162" s="21" t="s">
        <v>666</v>
      </c>
      <c r="F162" s="21" t="s">
        <v>481</v>
      </c>
      <c r="G162" s="21" t="s">
        <v>667</v>
      </c>
      <c r="H162" s="20" t="s">
        <v>668</v>
      </c>
      <c r="I162" s="20" t="s">
        <v>669</v>
      </c>
      <c r="J162" s="21">
        <v>19</v>
      </c>
      <c r="K162" s="21">
        <v>20</v>
      </c>
      <c r="L162" s="34">
        <v>300</v>
      </c>
      <c r="M162" s="20" t="s">
        <v>49</v>
      </c>
      <c r="N162" s="20" t="s">
        <v>50</v>
      </c>
      <c r="O162" s="21" t="s">
        <v>670</v>
      </c>
      <c r="P162" s="21" t="s">
        <v>671</v>
      </c>
      <c r="Q162" s="20" t="s">
        <v>53</v>
      </c>
      <c r="R162" s="21" t="s">
        <v>1117</v>
      </c>
    </row>
    <row r="163" spans="1:18" s="21" customFormat="1" x14ac:dyDescent="0.35">
      <c r="A163" s="21">
        <f>IF(D163="","",ROW()-1)</f>
        <v>162</v>
      </c>
      <c r="B163" s="21" t="s">
        <v>35</v>
      </c>
      <c r="C163" s="21" t="s">
        <v>1351</v>
      </c>
      <c r="D163" s="21" t="s">
        <v>32</v>
      </c>
      <c r="E163" s="21" t="s">
        <v>333</v>
      </c>
      <c r="F163" s="21" t="s">
        <v>80</v>
      </c>
      <c r="G163" s="21" t="s">
        <v>672</v>
      </c>
      <c r="H163" s="20" t="s">
        <v>673</v>
      </c>
      <c r="I163" s="20" t="s">
        <v>674</v>
      </c>
      <c r="J163" s="21">
        <v>22</v>
      </c>
      <c r="K163" s="21">
        <v>20</v>
      </c>
      <c r="L163" s="34">
        <v>300</v>
      </c>
      <c r="M163" s="20" t="s">
        <v>49</v>
      </c>
      <c r="N163" s="20" t="s">
        <v>50</v>
      </c>
      <c r="O163" s="21" t="s">
        <v>675</v>
      </c>
      <c r="P163" s="21" t="s">
        <v>676</v>
      </c>
      <c r="Q163" s="20" t="s">
        <v>53</v>
      </c>
      <c r="R163" s="21" t="s">
        <v>1117</v>
      </c>
    </row>
    <row r="164" spans="1:18" s="21" customFormat="1" x14ac:dyDescent="0.35">
      <c r="A164" s="21">
        <f>IF(D164="","",ROW()-1)</f>
        <v>163</v>
      </c>
      <c r="B164" s="21" t="s">
        <v>35</v>
      </c>
      <c r="C164" s="21" t="s">
        <v>1351</v>
      </c>
      <c r="D164" s="21" t="s">
        <v>32</v>
      </c>
      <c r="E164" s="21" t="s">
        <v>677</v>
      </c>
      <c r="F164" s="21" t="s">
        <v>678</v>
      </c>
      <c r="G164" s="21" t="s">
        <v>679</v>
      </c>
      <c r="H164" s="20" t="s">
        <v>680</v>
      </c>
      <c r="I164" s="20" t="s">
        <v>681</v>
      </c>
      <c r="J164" s="21">
        <v>25</v>
      </c>
      <c r="K164" s="21">
        <v>20</v>
      </c>
      <c r="L164" s="34">
        <v>300</v>
      </c>
      <c r="M164" s="20" t="s">
        <v>49</v>
      </c>
      <c r="N164" s="20" t="s">
        <v>50</v>
      </c>
      <c r="O164" s="21" t="s">
        <v>682</v>
      </c>
      <c r="P164" s="21" t="s">
        <v>683</v>
      </c>
      <c r="Q164" s="20" t="s">
        <v>53</v>
      </c>
      <c r="R164" s="21" t="s">
        <v>1117</v>
      </c>
    </row>
    <row r="165" spans="1:18" s="21" customFormat="1" x14ac:dyDescent="0.35">
      <c r="A165" s="21">
        <f>IF(D165="","",ROW()-1)</f>
        <v>164</v>
      </c>
      <c r="B165" s="21" t="s">
        <v>35</v>
      </c>
      <c r="C165" s="21" t="s">
        <v>1351</v>
      </c>
      <c r="D165" s="21" t="s">
        <v>25</v>
      </c>
      <c r="E165" s="21" t="s">
        <v>684</v>
      </c>
      <c r="F165" s="21" t="s">
        <v>685</v>
      </c>
      <c r="G165" s="21" t="s">
        <v>686</v>
      </c>
      <c r="H165" s="20" t="s">
        <v>687</v>
      </c>
      <c r="I165" s="20" t="s">
        <v>688</v>
      </c>
      <c r="J165" s="21">
        <v>25</v>
      </c>
      <c r="K165" s="21">
        <v>10</v>
      </c>
      <c r="L165" s="34">
        <v>150</v>
      </c>
      <c r="M165" s="20" t="s">
        <v>49</v>
      </c>
      <c r="N165" s="20" t="s">
        <v>50</v>
      </c>
      <c r="O165" s="21" t="s">
        <v>689</v>
      </c>
      <c r="P165" s="21" t="s">
        <v>690</v>
      </c>
      <c r="Q165" s="20" t="s">
        <v>53</v>
      </c>
      <c r="R165" s="21" t="s">
        <v>1117</v>
      </c>
    </row>
    <row r="166" spans="1:18" s="21" customFormat="1" x14ac:dyDescent="0.35">
      <c r="A166" s="21">
        <f>IF(D166="","",ROW()-1)</f>
        <v>165</v>
      </c>
      <c r="B166" s="21" t="s">
        <v>35</v>
      </c>
      <c r="C166" s="21" t="s">
        <v>1351</v>
      </c>
      <c r="D166" s="21" t="s">
        <v>25</v>
      </c>
      <c r="E166" s="21" t="s">
        <v>684</v>
      </c>
      <c r="F166" s="21" t="s">
        <v>691</v>
      </c>
      <c r="G166" s="21" t="s">
        <v>692</v>
      </c>
      <c r="H166" s="20" t="s">
        <v>693</v>
      </c>
      <c r="I166" s="20" t="s">
        <v>688</v>
      </c>
      <c r="J166" s="21">
        <v>16</v>
      </c>
      <c r="K166" s="21">
        <v>10</v>
      </c>
      <c r="L166" s="34">
        <v>150</v>
      </c>
      <c r="M166" s="20" t="s">
        <v>49</v>
      </c>
      <c r="N166" s="20" t="s">
        <v>50</v>
      </c>
      <c r="O166" s="21" t="s">
        <v>694</v>
      </c>
      <c r="P166" s="21" t="s">
        <v>695</v>
      </c>
      <c r="Q166" s="20" t="s">
        <v>53</v>
      </c>
      <c r="R166" s="21" t="s">
        <v>1117</v>
      </c>
    </row>
    <row r="167" spans="1:18" s="21" customFormat="1" x14ac:dyDescent="0.35">
      <c r="A167" s="21">
        <f>IF(D167="","",ROW()-1)</f>
        <v>166</v>
      </c>
      <c r="B167" s="21" t="s">
        <v>35</v>
      </c>
      <c r="C167" s="21" t="s">
        <v>1351</v>
      </c>
      <c r="D167" s="21" t="s">
        <v>25</v>
      </c>
      <c r="E167" s="21" t="s">
        <v>684</v>
      </c>
      <c r="F167" s="21" t="s">
        <v>696</v>
      </c>
      <c r="G167" s="21" t="s">
        <v>697</v>
      </c>
      <c r="H167" s="20" t="s">
        <v>698</v>
      </c>
      <c r="I167" s="20" t="s">
        <v>688</v>
      </c>
      <c r="J167" s="21">
        <v>27</v>
      </c>
      <c r="K167" s="21">
        <v>10</v>
      </c>
      <c r="L167" s="34">
        <v>150</v>
      </c>
      <c r="M167" s="20" t="s">
        <v>49</v>
      </c>
      <c r="N167" s="20" t="s">
        <v>50</v>
      </c>
      <c r="O167" s="21" t="s">
        <v>699</v>
      </c>
      <c r="P167" s="21" t="s">
        <v>700</v>
      </c>
      <c r="Q167" s="20" t="s">
        <v>53</v>
      </c>
      <c r="R167" s="21" t="s">
        <v>1117</v>
      </c>
    </row>
    <row r="168" spans="1:18" s="21" customFormat="1" x14ac:dyDescent="0.35">
      <c r="A168" s="21">
        <f>IF(D168="","",ROW()-1)</f>
        <v>167</v>
      </c>
      <c r="B168" s="21" t="s">
        <v>35</v>
      </c>
      <c r="C168" s="21" t="s">
        <v>1351</v>
      </c>
      <c r="D168" s="21" t="s">
        <v>25</v>
      </c>
      <c r="E168" s="21" t="s">
        <v>701</v>
      </c>
      <c r="F168" s="21" t="s">
        <v>702</v>
      </c>
      <c r="G168" s="21" t="s">
        <v>703</v>
      </c>
      <c r="H168" s="20" t="s">
        <v>704</v>
      </c>
      <c r="I168" s="20" t="s">
        <v>705</v>
      </c>
      <c r="J168" s="21">
        <v>12</v>
      </c>
      <c r="K168" s="21">
        <v>5</v>
      </c>
      <c r="L168" s="34">
        <v>75</v>
      </c>
      <c r="M168" s="20" t="s">
        <v>49</v>
      </c>
      <c r="N168" s="20" t="s">
        <v>50</v>
      </c>
      <c r="O168" s="21" t="s">
        <v>706</v>
      </c>
      <c r="P168" s="21" t="s">
        <v>707</v>
      </c>
      <c r="Q168" s="20" t="s">
        <v>53</v>
      </c>
      <c r="R168" s="21" t="s">
        <v>1117</v>
      </c>
    </row>
    <row r="169" spans="1:18" s="21" customFormat="1" x14ac:dyDescent="0.35">
      <c r="A169" s="21">
        <f>IF(D169="","",ROW()-1)</f>
        <v>168</v>
      </c>
      <c r="B169" s="21" t="s">
        <v>35</v>
      </c>
      <c r="C169" s="21" t="s">
        <v>1351</v>
      </c>
      <c r="D169" s="21" t="s">
        <v>25</v>
      </c>
      <c r="E169" s="21" t="s">
        <v>701</v>
      </c>
      <c r="F169" s="21" t="s">
        <v>708</v>
      </c>
      <c r="G169" s="21" t="s">
        <v>709</v>
      </c>
      <c r="H169" s="20" t="s">
        <v>710</v>
      </c>
      <c r="I169" s="20" t="s">
        <v>705</v>
      </c>
      <c r="J169" s="21">
        <v>21</v>
      </c>
      <c r="K169" s="21">
        <v>10</v>
      </c>
      <c r="L169" s="34">
        <v>150</v>
      </c>
      <c r="M169" s="20" t="s">
        <v>49</v>
      </c>
      <c r="N169" s="20" t="s">
        <v>50</v>
      </c>
      <c r="O169" s="21" t="s">
        <v>711</v>
      </c>
      <c r="P169" s="21" t="s">
        <v>712</v>
      </c>
      <c r="Q169" s="20" t="s">
        <v>53</v>
      </c>
      <c r="R169" s="21" t="s">
        <v>1117</v>
      </c>
    </row>
    <row r="170" spans="1:18" s="21" customFormat="1" x14ac:dyDescent="0.35">
      <c r="A170" s="21">
        <f>IF(D170="","",ROW()-1)</f>
        <v>169</v>
      </c>
      <c r="B170" s="21" t="s">
        <v>35</v>
      </c>
      <c r="C170" s="21" t="s">
        <v>1351</v>
      </c>
      <c r="D170" s="21" t="s">
        <v>25</v>
      </c>
      <c r="E170" s="21" t="s">
        <v>701</v>
      </c>
      <c r="F170" s="21" t="s">
        <v>713</v>
      </c>
      <c r="G170" s="21" t="s">
        <v>714</v>
      </c>
      <c r="H170" s="20" t="s">
        <v>715</v>
      </c>
      <c r="I170" s="20" t="s">
        <v>705</v>
      </c>
      <c r="J170" s="21">
        <v>21</v>
      </c>
      <c r="K170" s="21">
        <v>10</v>
      </c>
      <c r="L170" s="34">
        <v>150</v>
      </c>
      <c r="M170" s="20" t="s">
        <v>49</v>
      </c>
      <c r="N170" s="20" t="s">
        <v>50</v>
      </c>
      <c r="O170" s="21" t="s">
        <v>716</v>
      </c>
      <c r="P170" s="21" t="s">
        <v>717</v>
      </c>
      <c r="Q170" s="20" t="s">
        <v>53</v>
      </c>
      <c r="R170" s="21" t="s">
        <v>1117</v>
      </c>
    </row>
    <row r="171" spans="1:18" s="21" customFormat="1" x14ac:dyDescent="0.35">
      <c r="A171" s="21">
        <f>IF(D171="","",ROW()-1)</f>
        <v>170</v>
      </c>
      <c r="B171" s="21" t="s">
        <v>35</v>
      </c>
      <c r="C171" s="21" t="s">
        <v>1351</v>
      </c>
      <c r="D171" s="21" t="s">
        <v>25</v>
      </c>
      <c r="E171" s="21" t="s">
        <v>701</v>
      </c>
      <c r="F171" s="21" t="s">
        <v>718</v>
      </c>
      <c r="G171" s="21" t="s">
        <v>719</v>
      </c>
      <c r="H171" s="20" t="s">
        <v>720</v>
      </c>
      <c r="I171" s="20" t="s">
        <v>705</v>
      </c>
      <c r="J171" s="21">
        <v>20</v>
      </c>
      <c r="K171" s="21">
        <v>5</v>
      </c>
      <c r="L171" s="34">
        <v>75</v>
      </c>
      <c r="M171" s="20" t="s">
        <v>49</v>
      </c>
      <c r="N171" s="20" t="s">
        <v>50</v>
      </c>
      <c r="O171" s="21" t="s">
        <v>721</v>
      </c>
      <c r="P171" s="21" t="s">
        <v>722</v>
      </c>
      <c r="Q171" s="20" t="s">
        <v>53</v>
      </c>
      <c r="R171" s="21" t="s">
        <v>1117</v>
      </c>
    </row>
    <row r="172" spans="1:18" s="21" customFormat="1" x14ac:dyDescent="0.35">
      <c r="A172" s="21">
        <f>IF(D172="","",ROW()-1)</f>
        <v>171</v>
      </c>
      <c r="B172" s="21" t="s">
        <v>35</v>
      </c>
      <c r="C172" s="21" t="s">
        <v>1351</v>
      </c>
      <c r="D172" s="21" t="s">
        <v>25</v>
      </c>
      <c r="E172" s="21" t="s">
        <v>701</v>
      </c>
      <c r="F172" s="21" t="s">
        <v>723</v>
      </c>
      <c r="G172" s="21" t="s">
        <v>724</v>
      </c>
      <c r="H172" s="20" t="s">
        <v>725</v>
      </c>
      <c r="I172" s="20" t="s">
        <v>705</v>
      </c>
      <c r="J172" s="21">
        <v>37</v>
      </c>
      <c r="K172" s="21">
        <v>10</v>
      </c>
      <c r="L172" s="34">
        <v>150</v>
      </c>
      <c r="M172" s="20" t="s">
        <v>49</v>
      </c>
      <c r="N172" s="20" t="s">
        <v>50</v>
      </c>
      <c r="O172" s="21" t="s">
        <v>726</v>
      </c>
      <c r="P172" s="21" t="s">
        <v>727</v>
      </c>
      <c r="Q172" s="20" t="s">
        <v>53</v>
      </c>
      <c r="R172" s="21" t="s">
        <v>1117</v>
      </c>
    </row>
    <row r="173" spans="1:18" s="21" customFormat="1" x14ac:dyDescent="0.35">
      <c r="A173" s="21">
        <f>IF(D173="","",ROW()-1)</f>
        <v>172</v>
      </c>
      <c r="B173" s="21" t="s">
        <v>35</v>
      </c>
      <c r="C173" s="21" t="s">
        <v>1351</v>
      </c>
      <c r="D173" s="21" t="s">
        <v>25</v>
      </c>
      <c r="E173" s="21" t="s">
        <v>728</v>
      </c>
      <c r="F173" s="21" t="s">
        <v>729</v>
      </c>
      <c r="G173" s="21" t="s">
        <v>730</v>
      </c>
      <c r="H173" s="20" t="s">
        <v>731</v>
      </c>
      <c r="I173" s="20" t="s">
        <v>732</v>
      </c>
      <c r="J173" s="21">
        <v>14</v>
      </c>
      <c r="K173" s="21">
        <v>10</v>
      </c>
      <c r="L173" s="34">
        <v>150</v>
      </c>
      <c r="M173" s="20" t="s">
        <v>49</v>
      </c>
      <c r="N173" s="20" t="s">
        <v>50</v>
      </c>
      <c r="O173" s="21" t="s">
        <v>733</v>
      </c>
      <c r="P173" s="21" t="s">
        <v>734</v>
      </c>
      <c r="Q173" s="20" t="s">
        <v>53</v>
      </c>
      <c r="R173" s="21" t="s">
        <v>1117</v>
      </c>
    </row>
    <row r="174" spans="1:18" s="21" customFormat="1" x14ac:dyDescent="0.35">
      <c r="A174" s="21">
        <f>IF(D174="","",ROW()-1)</f>
        <v>173</v>
      </c>
      <c r="B174" s="21" t="s">
        <v>35</v>
      </c>
      <c r="C174" s="21" t="s">
        <v>1351</v>
      </c>
      <c r="D174" s="21" t="s">
        <v>25</v>
      </c>
      <c r="E174" s="21" t="s">
        <v>728</v>
      </c>
      <c r="F174" s="21" t="s">
        <v>735</v>
      </c>
      <c r="G174" s="21" t="s">
        <v>736</v>
      </c>
      <c r="H174" s="20" t="s">
        <v>737</v>
      </c>
      <c r="I174" s="20" t="s">
        <v>732</v>
      </c>
      <c r="J174" s="21">
        <v>25</v>
      </c>
      <c r="K174" s="21">
        <v>15</v>
      </c>
      <c r="L174" s="34">
        <v>225</v>
      </c>
      <c r="M174" s="20" t="s">
        <v>49</v>
      </c>
      <c r="N174" s="20" t="s">
        <v>50</v>
      </c>
      <c r="O174" s="21" t="s">
        <v>738</v>
      </c>
      <c r="P174" s="21" t="s">
        <v>739</v>
      </c>
      <c r="Q174" s="20" t="s">
        <v>53</v>
      </c>
      <c r="R174" s="21" t="s">
        <v>1117</v>
      </c>
    </row>
    <row r="175" spans="1:18" s="21" customFormat="1" x14ac:dyDescent="0.35">
      <c r="A175" s="21">
        <f>IF(D175="","",ROW()-1)</f>
        <v>174</v>
      </c>
      <c r="B175" s="21" t="s">
        <v>35</v>
      </c>
      <c r="C175" s="21" t="s">
        <v>1351</v>
      </c>
      <c r="D175" s="21" t="s">
        <v>25</v>
      </c>
      <c r="E175" s="21" t="s">
        <v>740</v>
      </c>
      <c r="F175" s="21" t="s">
        <v>741</v>
      </c>
      <c r="G175" s="21" t="s">
        <v>742</v>
      </c>
      <c r="H175" s="20" t="s">
        <v>743</v>
      </c>
      <c r="I175" s="20" t="s">
        <v>744</v>
      </c>
      <c r="J175" s="21">
        <v>23</v>
      </c>
      <c r="K175" s="21">
        <v>15</v>
      </c>
      <c r="L175" s="34">
        <v>225</v>
      </c>
      <c r="M175" s="20" t="s">
        <v>49</v>
      </c>
      <c r="N175" s="20" t="s">
        <v>50</v>
      </c>
      <c r="O175" s="21" t="s">
        <v>745</v>
      </c>
      <c r="P175" s="21" t="s">
        <v>746</v>
      </c>
      <c r="Q175" s="20" t="s">
        <v>53</v>
      </c>
      <c r="R175" s="21" t="s">
        <v>1117</v>
      </c>
    </row>
    <row r="176" spans="1:18" s="21" customFormat="1" x14ac:dyDescent="0.35">
      <c r="A176" s="21">
        <f>IF(D176="","",ROW()-1)</f>
        <v>175</v>
      </c>
      <c r="B176" s="21" t="s">
        <v>35</v>
      </c>
      <c r="C176" s="21" t="s">
        <v>1351</v>
      </c>
      <c r="D176" s="21" t="s">
        <v>25</v>
      </c>
      <c r="E176" s="21" t="s">
        <v>740</v>
      </c>
      <c r="F176" s="21" t="s">
        <v>747</v>
      </c>
      <c r="G176" s="21" t="s">
        <v>748</v>
      </c>
      <c r="H176" s="20" t="s">
        <v>749</v>
      </c>
      <c r="I176" s="20" t="s">
        <v>744</v>
      </c>
      <c r="J176" s="21">
        <v>15</v>
      </c>
      <c r="K176" s="21">
        <v>10</v>
      </c>
      <c r="L176" s="34">
        <v>150</v>
      </c>
      <c r="M176" s="20" t="s">
        <v>49</v>
      </c>
      <c r="N176" s="20" t="s">
        <v>50</v>
      </c>
      <c r="O176" s="21" t="s">
        <v>750</v>
      </c>
      <c r="P176" s="21" t="s">
        <v>751</v>
      </c>
      <c r="Q176" s="20" t="s">
        <v>53</v>
      </c>
      <c r="R176" s="21" t="s">
        <v>1117</v>
      </c>
    </row>
    <row r="177" spans="1:18" s="21" customFormat="1" x14ac:dyDescent="0.35">
      <c r="A177" s="21">
        <f>IF(D177="","",ROW()-1)</f>
        <v>176</v>
      </c>
      <c r="B177" s="21" t="s">
        <v>35</v>
      </c>
      <c r="C177" s="21" t="s">
        <v>1351</v>
      </c>
      <c r="D177" s="21" t="s">
        <v>25</v>
      </c>
      <c r="E177" s="21" t="s">
        <v>740</v>
      </c>
      <c r="F177" s="21" t="s">
        <v>752</v>
      </c>
      <c r="G177" s="21" t="s">
        <v>753</v>
      </c>
      <c r="H177" s="20" t="s">
        <v>754</v>
      </c>
      <c r="I177" s="20" t="s">
        <v>744</v>
      </c>
      <c r="J177" s="21">
        <v>23</v>
      </c>
      <c r="K177" s="21">
        <v>10</v>
      </c>
      <c r="L177" s="34">
        <v>150</v>
      </c>
      <c r="M177" s="20" t="s">
        <v>49</v>
      </c>
      <c r="N177" s="20" t="s">
        <v>50</v>
      </c>
      <c r="O177" s="21" t="s">
        <v>755</v>
      </c>
      <c r="P177" s="21" t="s">
        <v>756</v>
      </c>
      <c r="Q177" s="20" t="s">
        <v>53</v>
      </c>
      <c r="R177" s="21" t="s">
        <v>1117</v>
      </c>
    </row>
    <row r="178" spans="1:18" s="21" customFormat="1" x14ac:dyDescent="0.35">
      <c r="A178" s="21">
        <f>IF(D178="","",ROW()-1)</f>
        <v>177</v>
      </c>
      <c r="B178" s="21" t="s">
        <v>35</v>
      </c>
      <c r="C178" s="21" t="s">
        <v>1351</v>
      </c>
      <c r="D178" s="21" t="s">
        <v>25</v>
      </c>
      <c r="E178" s="21" t="s">
        <v>740</v>
      </c>
      <c r="F178" s="21" t="s">
        <v>757</v>
      </c>
      <c r="G178" s="21" t="s">
        <v>758</v>
      </c>
      <c r="H178" s="20" t="s">
        <v>759</v>
      </c>
      <c r="I178" s="20" t="s">
        <v>744</v>
      </c>
      <c r="J178" s="21">
        <v>15</v>
      </c>
      <c r="K178" s="21">
        <v>8</v>
      </c>
      <c r="L178" s="34">
        <v>120</v>
      </c>
      <c r="M178" s="20" t="s">
        <v>49</v>
      </c>
      <c r="N178" s="20" t="s">
        <v>50</v>
      </c>
      <c r="O178" s="21" t="s">
        <v>760</v>
      </c>
      <c r="P178" s="21" t="s">
        <v>761</v>
      </c>
      <c r="Q178" s="20" t="s">
        <v>53</v>
      </c>
      <c r="R178" s="21" t="s">
        <v>1117</v>
      </c>
    </row>
    <row r="179" spans="1:18" s="21" customFormat="1" x14ac:dyDescent="0.35">
      <c r="A179" s="21">
        <f>IF(D179="","",ROW()-1)</f>
        <v>178</v>
      </c>
      <c r="B179" s="21" t="s">
        <v>35</v>
      </c>
      <c r="C179" s="21" t="s">
        <v>1351</v>
      </c>
      <c r="D179" s="21" t="s">
        <v>25</v>
      </c>
      <c r="E179" s="21" t="s">
        <v>762</v>
      </c>
      <c r="F179" s="21" t="s">
        <v>763</v>
      </c>
      <c r="G179" s="21" t="s">
        <v>764</v>
      </c>
      <c r="H179" s="20" t="s">
        <v>765</v>
      </c>
      <c r="I179" s="20" t="s">
        <v>766</v>
      </c>
      <c r="J179" s="21">
        <v>30</v>
      </c>
      <c r="K179" s="21">
        <v>10</v>
      </c>
      <c r="L179" s="34">
        <v>150</v>
      </c>
      <c r="M179" s="20" t="s">
        <v>49</v>
      </c>
      <c r="N179" s="20" t="s">
        <v>50</v>
      </c>
      <c r="O179" s="21" t="s">
        <v>767</v>
      </c>
      <c r="P179" s="21" t="s">
        <v>768</v>
      </c>
      <c r="Q179" s="20" t="s">
        <v>53</v>
      </c>
      <c r="R179" s="21" t="s">
        <v>1117</v>
      </c>
    </row>
    <row r="180" spans="1:18" x14ac:dyDescent="0.3">
      <c r="A180" s="21">
        <f t="shared" ref="A180:A211" si="2">IF(D180="","",ROW()-1)</f>
        <v>179</v>
      </c>
      <c r="B180" s="21" t="s">
        <v>35</v>
      </c>
      <c r="C180" s="21" t="s">
        <v>1351</v>
      </c>
      <c r="D180" s="21" t="s">
        <v>25</v>
      </c>
      <c r="E180" s="21" t="s">
        <v>762</v>
      </c>
      <c r="F180" s="21" t="s">
        <v>769</v>
      </c>
      <c r="G180" s="21" t="s">
        <v>770</v>
      </c>
      <c r="H180" s="20" t="s">
        <v>771</v>
      </c>
      <c r="I180" s="20" t="s">
        <v>766</v>
      </c>
      <c r="J180" s="21">
        <v>23</v>
      </c>
      <c r="K180" s="21">
        <v>10</v>
      </c>
      <c r="L180" s="34">
        <v>150</v>
      </c>
      <c r="M180" s="20" t="s">
        <v>49</v>
      </c>
      <c r="N180" s="20" t="s">
        <v>50</v>
      </c>
      <c r="O180" s="21" t="s">
        <v>772</v>
      </c>
      <c r="P180" s="21" t="s">
        <v>773</v>
      </c>
      <c r="Q180" s="20" t="s">
        <v>53</v>
      </c>
      <c r="R180" s="21" t="s">
        <v>1117</v>
      </c>
    </row>
    <row r="181" spans="1:18" x14ac:dyDescent="0.3">
      <c r="A181" s="21">
        <f t="shared" si="2"/>
        <v>180</v>
      </c>
      <c r="B181" s="21" t="s">
        <v>35</v>
      </c>
      <c r="C181" s="21" t="s">
        <v>1351</v>
      </c>
      <c r="D181" s="21" t="s">
        <v>25</v>
      </c>
      <c r="E181" s="21" t="s">
        <v>774</v>
      </c>
      <c r="F181" s="21" t="s">
        <v>775</v>
      </c>
      <c r="G181" s="21" t="s">
        <v>776</v>
      </c>
      <c r="H181" s="20" t="s">
        <v>777</v>
      </c>
      <c r="I181" s="20" t="s">
        <v>778</v>
      </c>
      <c r="J181" s="21">
        <v>20</v>
      </c>
      <c r="K181" s="21">
        <v>10</v>
      </c>
      <c r="L181" s="34">
        <v>150</v>
      </c>
      <c r="M181" s="20" t="s">
        <v>49</v>
      </c>
      <c r="N181" s="20" t="s">
        <v>50</v>
      </c>
      <c r="O181" s="21" t="s">
        <v>779</v>
      </c>
      <c r="P181" s="21" t="s">
        <v>780</v>
      </c>
      <c r="Q181" s="20" t="s">
        <v>53</v>
      </c>
      <c r="R181" s="21" t="s">
        <v>1117</v>
      </c>
    </row>
    <row r="182" spans="1:18" x14ac:dyDescent="0.3">
      <c r="A182" s="21">
        <f t="shared" si="2"/>
        <v>181</v>
      </c>
      <c r="B182" s="21" t="s">
        <v>35</v>
      </c>
      <c r="C182" s="21" t="s">
        <v>1351</v>
      </c>
      <c r="D182" s="21" t="s">
        <v>25</v>
      </c>
      <c r="E182" s="21" t="s">
        <v>774</v>
      </c>
      <c r="F182" s="21" t="s">
        <v>781</v>
      </c>
      <c r="G182" s="21" t="s">
        <v>782</v>
      </c>
      <c r="H182" s="20" t="s">
        <v>783</v>
      </c>
      <c r="I182" s="20" t="s">
        <v>778</v>
      </c>
      <c r="J182" s="21">
        <v>25</v>
      </c>
      <c r="K182" s="21">
        <v>10</v>
      </c>
      <c r="L182" s="34">
        <v>150</v>
      </c>
      <c r="M182" s="20" t="s">
        <v>49</v>
      </c>
      <c r="N182" s="20" t="s">
        <v>50</v>
      </c>
      <c r="O182" s="21" t="s">
        <v>784</v>
      </c>
      <c r="P182" s="21" t="s">
        <v>785</v>
      </c>
      <c r="Q182" s="20" t="s">
        <v>53</v>
      </c>
      <c r="R182" s="21" t="s">
        <v>1117</v>
      </c>
    </row>
    <row r="183" spans="1:18" x14ac:dyDescent="0.3">
      <c r="A183" s="21">
        <f t="shared" si="2"/>
        <v>182</v>
      </c>
      <c r="B183" s="21" t="s">
        <v>35</v>
      </c>
      <c r="C183" s="21" t="s">
        <v>1351</v>
      </c>
      <c r="D183" s="21" t="s">
        <v>25</v>
      </c>
      <c r="E183" s="21" t="s">
        <v>774</v>
      </c>
      <c r="F183" s="21" t="s">
        <v>786</v>
      </c>
      <c r="G183" s="21" t="s">
        <v>787</v>
      </c>
      <c r="H183" s="20" t="s">
        <v>788</v>
      </c>
      <c r="I183" s="20" t="s">
        <v>778</v>
      </c>
      <c r="J183" s="21">
        <v>25</v>
      </c>
      <c r="K183" s="21">
        <v>10</v>
      </c>
      <c r="L183" s="34">
        <v>150</v>
      </c>
      <c r="M183" s="20" t="s">
        <v>49</v>
      </c>
      <c r="N183" s="20" t="s">
        <v>50</v>
      </c>
      <c r="O183" s="21" t="s">
        <v>789</v>
      </c>
      <c r="P183" s="21" t="s">
        <v>790</v>
      </c>
      <c r="Q183" s="20" t="s">
        <v>53</v>
      </c>
      <c r="R183" s="21" t="s">
        <v>1117</v>
      </c>
    </row>
    <row r="184" spans="1:18" x14ac:dyDescent="0.3">
      <c r="A184" s="21">
        <f t="shared" si="2"/>
        <v>183</v>
      </c>
      <c r="B184" s="21" t="s">
        <v>35</v>
      </c>
      <c r="C184" s="21" t="s">
        <v>1351</v>
      </c>
      <c r="D184" s="21" t="s">
        <v>25</v>
      </c>
      <c r="E184" s="21" t="s">
        <v>774</v>
      </c>
      <c r="F184" s="21" t="s">
        <v>791</v>
      </c>
      <c r="G184" s="21" t="s">
        <v>792</v>
      </c>
      <c r="H184" s="20" t="s">
        <v>793</v>
      </c>
      <c r="I184" s="20" t="s">
        <v>778</v>
      </c>
      <c r="J184" s="21">
        <v>27</v>
      </c>
      <c r="K184" s="21">
        <v>10</v>
      </c>
      <c r="L184" s="34">
        <v>150</v>
      </c>
      <c r="M184" s="20" t="s">
        <v>49</v>
      </c>
      <c r="N184" s="20" t="s">
        <v>50</v>
      </c>
      <c r="O184" s="21" t="s">
        <v>794</v>
      </c>
      <c r="P184" s="21" t="s">
        <v>795</v>
      </c>
      <c r="Q184" s="20" t="s">
        <v>53</v>
      </c>
      <c r="R184" s="21" t="s">
        <v>1117</v>
      </c>
    </row>
    <row r="185" spans="1:18" x14ac:dyDescent="0.3">
      <c r="A185" s="21">
        <f t="shared" si="2"/>
        <v>184</v>
      </c>
      <c r="B185" s="21" t="s">
        <v>35</v>
      </c>
      <c r="C185" s="21" t="s">
        <v>1351</v>
      </c>
      <c r="D185" s="21" t="s">
        <v>25</v>
      </c>
      <c r="E185" s="21" t="s">
        <v>774</v>
      </c>
      <c r="F185" s="21" t="s">
        <v>796</v>
      </c>
      <c r="G185" s="21" t="s">
        <v>797</v>
      </c>
      <c r="H185" s="20" t="s">
        <v>798</v>
      </c>
      <c r="I185" s="20" t="s">
        <v>778</v>
      </c>
      <c r="J185" s="21">
        <v>22</v>
      </c>
      <c r="K185" s="21">
        <v>10</v>
      </c>
      <c r="L185" s="34">
        <v>150</v>
      </c>
      <c r="M185" s="20" t="s">
        <v>49</v>
      </c>
      <c r="N185" s="20" t="s">
        <v>50</v>
      </c>
      <c r="O185" s="21" t="s">
        <v>799</v>
      </c>
      <c r="P185" s="21" t="s">
        <v>800</v>
      </c>
      <c r="Q185" s="20" t="s">
        <v>53</v>
      </c>
      <c r="R185" s="21" t="s">
        <v>1117</v>
      </c>
    </row>
    <row r="186" spans="1:18" x14ac:dyDescent="0.3">
      <c r="A186" s="21">
        <f t="shared" si="2"/>
        <v>185</v>
      </c>
      <c r="B186" s="21" t="s">
        <v>35</v>
      </c>
      <c r="C186" s="21" t="s">
        <v>1351</v>
      </c>
      <c r="D186" s="21" t="s">
        <v>25</v>
      </c>
      <c r="E186" s="21" t="s">
        <v>801</v>
      </c>
      <c r="F186" s="21" t="s">
        <v>802</v>
      </c>
      <c r="G186" s="21" t="s">
        <v>803</v>
      </c>
      <c r="H186" s="20" t="s">
        <v>804</v>
      </c>
      <c r="I186" s="20" t="s">
        <v>805</v>
      </c>
      <c r="J186" s="21">
        <v>22</v>
      </c>
      <c r="K186" s="21">
        <v>10</v>
      </c>
      <c r="L186" s="34">
        <v>150</v>
      </c>
      <c r="M186" s="20" t="s">
        <v>49</v>
      </c>
      <c r="N186" s="20" t="s">
        <v>50</v>
      </c>
      <c r="O186" s="21" t="s">
        <v>806</v>
      </c>
      <c r="P186" s="21" t="s">
        <v>807</v>
      </c>
      <c r="Q186" s="20" t="s">
        <v>53</v>
      </c>
      <c r="R186" s="21" t="s">
        <v>1117</v>
      </c>
    </row>
    <row r="187" spans="1:18" x14ac:dyDescent="0.3">
      <c r="A187" s="21">
        <f t="shared" si="2"/>
        <v>186</v>
      </c>
      <c r="B187" s="21" t="s">
        <v>35</v>
      </c>
      <c r="C187" s="21" t="s">
        <v>1351</v>
      </c>
      <c r="D187" s="21" t="s">
        <v>25</v>
      </c>
      <c r="E187" s="21" t="s">
        <v>801</v>
      </c>
      <c r="F187" s="21" t="s">
        <v>808</v>
      </c>
      <c r="G187" s="21" t="s">
        <v>809</v>
      </c>
      <c r="H187" s="20" t="s">
        <v>810</v>
      </c>
      <c r="I187" s="20" t="s">
        <v>805</v>
      </c>
      <c r="J187" s="21">
        <v>19</v>
      </c>
      <c r="K187" s="21">
        <v>10</v>
      </c>
      <c r="L187" s="34">
        <v>150</v>
      </c>
      <c r="M187" s="20" t="s">
        <v>49</v>
      </c>
      <c r="N187" s="20" t="s">
        <v>50</v>
      </c>
      <c r="O187" s="21" t="s">
        <v>811</v>
      </c>
      <c r="P187" s="21" t="s">
        <v>812</v>
      </c>
      <c r="Q187" s="20" t="s">
        <v>53</v>
      </c>
      <c r="R187" s="21" t="s">
        <v>1117</v>
      </c>
    </row>
    <row r="188" spans="1:18" x14ac:dyDescent="0.3">
      <c r="A188" s="21">
        <f t="shared" si="2"/>
        <v>187</v>
      </c>
      <c r="B188" s="21" t="s">
        <v>35</v>
      </c>
      <c r="C188" s="21" t="s">
        <v>1351</v>
      </c>
      <c r="D188" s="21" t="s">
        <v>25</v>
      </c>
      <c r="E188" s="21" t="s">
        <v>813</v>
      </c>
      <c r="F188" s="21" t="s">
        <v>814</v>
      </c>
      <c r="G188" s="21" t="s">
        <v>815</v>
      </c>
      <c r="H188" s="20" t="s">
        <v>816</v>
      </c>
      <c r="I188" s="20" t="s">
        <v>817</v>
      </c>
      <c r="J188" s="21">
        <v>15</v>
      </c>
      <c r="K188" s="21">
        <v>10</v>
      </c>
      <c r="L188" s="34">
        <v>150</v>
      </c>
      <c r="M188" s="20" t="s">
        <v>49</v>
      </c>
      <c r="N188" s="20" t="s">
        <v>50</v>
      </c>
      <c r="O188" s="21" t="s">
        <v>818</v>
      </c>
      <c r="P188" s="21" t="s">
        <v>819</v>
      </c>
      <c r="Q188" s="20" t="s">
        <v>53</v>
      </c>
      <c r="R188" s="21" t="s">
        <v>1117</v>
      </c>
    </row>
    <row r="189" spans="1:18" x14ac:dyDescent="0.3">
      <c r="A189" s="21">
        <f t="shared" si="2"/>
        <v>188</v>
      </c>
      <c r="B189" s="21" t="s">
        <v>35</v>
      </c>
      <c r="C189" s="21" t="s">
        <v>1351</v>
      </c>
      <c r="D189" s="21" t="s">
        <v>25</v>
      </c>
      <c r="E189" s="21" t="s">
        <v>813</v>
      </c>
      <c r="F189" s="21" t="s">
        <v>820</v>
      </c>
      <c r="G189" s="21" t="s">
        <v>821</v>
      </c>
      <c r="H189" s="20" t="s">
        <v>822</v>
      </c>
      <c r="I189" s="20" t="s">
        <v>817</v>
      </c>
      <c r="J189" s="21">
        <v>18</v>
      </c>
      <c r="K189" s="21">
        <v>10</v>
      </c>
      <c r="L189" s="34">
        <v>150</v>
      </c>
      <c r="M189" s="20" t="s">
        <v>49</v>
      </c>
      <c r="N189" s="20" t="s">
        <v>50</v>
      </c>
      <c r="O189" s="21" t="s">
        <v>823</v>
      </c>
      <c r="P189" s="21" t="s">
        <v>824</v>
      </c>
      <c r="Q189" s="20" t="s">
        <v>53</v>
      </c>
      <c r="R189" s="21" t="s">
        <v>1117</v>
      </c>
    </row>
    <row r="190" spans="1:18" x14ac:dyDescent="0.3">
      <c r="A190" s="21">
        <f t="shared" si="2"/>
        <v>189</v>
      </c>
      <c r="B190" s="21" t="s">
        <v>35</v>
      </c>
      <c r="C190" s="21" t="s">
        <v>1351</v>
      </c>
      <c r="D190" s="21" t="s">
        <v>25</v>
      </c>
      <c r="E190" s="21" t="s">
        <v>813</v>
      </c>
      <c r="F190" s="21" t="s">
        <v>825</v>
      </c>
      <c r="G190" s="21" t="s">
        <v>826</v>
      </c>
      <c r="H190" s="20" t="s">
        <v>827</v>
      </c>
      <c r="I190" s="20" t="s">
        <v>817</v>
      </c>
      <c r="J190" s="21">
        <v>21</v>
      </c>
      <c r="K190" s="21">
        <v>5</v>
      </c>
      <c r="L190" s="34">
        <v>75</v>
      </c>
      <c r="M190" s="20" t="s">
        <v>49</v>
      </c>
      <c r="N190" s="20" t="s">
        <v>50</v>
      </c>
      <c r="O190" s="21" t="s">
        <v>828</v>
      </c>
      <c r="P190" s="21" t="s">
        <v>829</v>
      </c>
      <c r="Q190" s="20" t="s">
        <v>53</v>
      </c>
      <c r="R190" s="21" t="s">
        <v>1117</v>
      </c>
    </row>
    <row r="191" spans="1:18" x14ac:dyDescent="0.3">
      <c r="A191" s="21">
        <f t="shared" si="2"/>
        <v>190</v>
      </c>
      <c r="B191" s="21" t="s">
        <v>35</v>
      </c>
      <c r="C191" s="21" t="s">
        <v>1351</v>
      </c>
      <c r="D191" s="21" t="s">
        <v>25</v>
      </c>
      <c r="E191" s="21" t="s">
        <v>813</v>
      </c>
      <c r="F191" s="21" t="s">
        <v>830</v>
      </c>
      <c r="G191" s="21" t="s">
        <v>831</v>
      </c>
      <c r="H191" s="20" t="s">
        <v>832</v>
      </c>
      <c r="I191" s="20" t="s">
        <v>817</v>
      </c>
      <c r="J191" s="21">
        <v>20</v>
      </c>
      <c r="K191" s="21">
        <v>5</v>
      </c>
      <c r="L191" s="34">
        <v>75</v>
      </c>
      <c r="M191" s="20" t="s">
        <v>49</v>
      </c>
      <c r="N191" s="20" t="s">
        <v>50</v>
      </c>
      <c r="O191" s="21" t="s">
        <v>833</v>
      </c>
      <c r="P191" s="21" t="s">
        <v>834</v>
      </c>
      <c r="Q191" s="20" t="s">
        <v>53</v>
      </c>
      <c r="R191" s="21" t="s">
        <v>1117</v>
      </c>
    </row>
    <row r="192" spans="1:18" x14ac:dyDescent="0.3">
      <c r="A192" s="21">
        <f t="shared" si="2"/>
        <v>191</v>
      </c>
      <c r="B192" s="21" t="s">
        <v>35</v>
      </c>
      <c r="C192" s="21" t="s">
        <v>1351</v>
      </c>
      <c r="D192" s="21" t="s">
        <v>25</v>
      </c>
      <c r="E192" s="21" t="s">
        <v>813</v>
      </c>
      <c r="F192" s="21" t="s">
        <v>741</v>
      </c>
      <c r="G192" s="21" t="s">
        <v>835</v>
      </c>
      <c r="H192" s="20" t="s">
        <v>836</v>
      </c>
      <c r="I192" s="20" t="s">
        <v>817</v>
      </c>
      <c r="J192" s="21">
        <v>21</v>
      </c>
      <c r="K192" s="21">
        <v>10</v>
      </c>
      <c r="L192" s="34">
        <v>150</v>
      </c>
      <c r="M192" s="20" t="s">
        <v>49</v>
      </c>
      <c r="N192" s="20" t="s">
        <v>50</v>
      </c>
      <c r="O192" s="21" t="s">
        <v>837</v>
      </c>
      <c r="P192" s="21" t="s">
        <v>838</v>
      </c>
      <c r="Q192" s="20" t="s">
        <v>53</v>
      </c>
      <c r="R192" s="21" t="s">
        <v>1117</v>
      </c>
    </row>
    <row r="193" spans="1:18" x14ac:dyDescent="0.3">
      <c r="A193" s="21">
        <f t="shared" si="2"/>
        <v>192</v>
      </c>
      <c r="B193" s="21" t="s">
        <v>35</v>
      </c>
      <c r="C193" s="21" t="s">
        <v>1351</v>
      </c>
      <c r="D193" s="21" t="s">
        <v>25</v>
      </c>
      <c r="E193" s="21" t="s">
        <v>839</v>
      </c>
      <c r="F193" s="21" t="s">
        <v>840</v>
      </c>
      <c r="G193" s="21" t="s">
        <v>841</v>
      </c>
      <c r="H193" s="20" t="s">
        <v>842</v>
      </c>
      <c r="I193" s="20" t="s">
        <v>843</v>
      </c>
      <c r="J193" s="21">
        <v>16</v>
      </c>
      <c r="K193" s="21">
        <v>10</v>
      </c>
      <c r="L193" s="34">
        <v>150</v>
      </c>
      <c r="M193" s="20" t="s">
        <v>49</v>
      </c>
      <c r="N193" s="20" t="s">
        <v>50</v>
      </c>
      <c r="O193" s="21" t="s">
        <v>844</v>
      </c>
      <c r="P193" s="21" t="s">
        <v>845</v>
      </c>
      <c r="Q193" s="20" t="s">
        <v>53</v>
      </c>
      <c r="R193" s="21" t="s">
        <v>1117</v>
      </c>
    </row>
    <row r="194" spans="1:18" x14ac:dyDescent="0.3">
      <c r="A194" s="21">
        <f t="shared" si="2"/>
        <v>193</v>
      </c>
      <c r="B194" s="21" t="s">
        <v>35</v>
      </c>
      <c r="C194" s="21" t="s">
        <v>1351</v>
      </c>
      <c r="D194" s="21" t="s">
        <v>25</v>
      </c>
      <c r="E194" s="21" t="s">
        <v>839</v>
      </c>
      <c r="F194" s="21" t="s">
        <v>846</v>
      </c>
      <c r="G194" s="21" t="s">
        <v>847</v>
      </c>
      <c r="H194" s="20" t="s">
        <v>848</v>
      </c>
      <c r="I194" s="20" t="s">
        <v>843</v>
      </c>
      <c r="J194" s="21">
        <v>16</v>
      </c>
      <c r="K194" s="21">
        <v>10</v>
      </c>
      <c r="L194" s="34">
        <v>150</v>
      </c>
      <c r="M194" s="20" t="s">
        <v>49</v>
      </c>
      <c r="N194" s="20" t="s">
        <v>50</v>
      </c>
      <c r="O194" s="21" t="s">
        <v>849</v>
      </c>
      <c r="P194" s="21" t="s">
        <v>850</v>
      </c>
      <c r="Q194" s="20" t="s">
        <v>53</v>
      </c>
      <c r="R194" s="21" t="s">
        <v>1117</v>
      </c>
    </row>
    <row r="195" spans="1:18" x14ac:dyDescent="0.3">
      <c r="A195" s="21">
        <f t="shared" si="2"/>
        <v>194</v>
      </c>
      <c r="B195" s="21" t="s">
        <v>35</v>
      </c>
      <c r="C195" s="21" t="s">
        <v>1351</v>
      </c>
      <c r="D195" s="21" t="s">
        <v>30</v>
      </c>
      <c r="E195" s="21" t="s">
        <v>851</v>
      </c>
      <c r="F195" s="21" t="s">
        <v>852</v>
      </c>
      <c r="G195" s="21" t="s">
        <v>853</v>
      </c>
      <c r="H195" s="20" t="s">
        <v>854</v>
      </c>
      <c r="I195" s="20" t="s">
        <v>855</v>
      </c>
      <c r="J195" s="21">
        <v>25</v>
      </c>
      <c r="K195" s="21">
        <v>27</v>
      </c>
      <c r="L195" s="34">
        <v>405</v>
      </c>
      <c r="M195" s="20" t="s">
        <v>49</v>
      </c>
      <c r="N195" s="20" t="s">
        <v>50</v>
      </c>
      <c r="O195" s="21" t="s">
        <v>856</v>
      </c>
      <c r="P195" s="21" t="s">
        <v>857</v>
      </c>
      <c r="Q195" s="20" t="s">
        <v>53</v>
      </c>
      <c r="R195" s="21" t="s">
        <v>1117</v>
      </c>
    </row>
    <row r="196" spans="1:18" x14ac:dyDescent="0.3">
      <c r="A196" s="21">
        <f t="shared" si="2"/>
        <v>195</v>
      </c>
      <c r="B196" s="21" t="s">
        <v>35</v>
      </c>
      <c r="C196" s="21" t="s">
        <v>1351</v>
      </c>
      <c r="D196" s="21" t="s">
        <v>30</v>
      </c>
      <c r="E196" s="21" t="s">
        <v>858</v>
      </c>
      <c r="F196" s="21" t="s">
        <v>859</v>
      </c>
      <c r="G196" s="21" t="s">
        <v>860</v>
      </c>
      <c r="H196" s="20" t="s">
        <v>861</v>
      </c>
      <c r="I196" s="20" t="s">
        <v>862</v>
      </c>
      <c r="J196" s="21">
        <v>25</v>
      </c>
      <c r="K196" s="21">
        <v>32</v>
      </c>
      <c r="L196" s="34">
        <v>480</v>
      </c>
      <c r="M196" s="20" t="s">
        <v>49</v>
      </c>
      <c r="N196" s="20" t="s">
        <v>50</v>
      </c>
      <c r="O196" s="21" t="s">
        <v>863</v>
      </c>
      <c r="P196" s="21" t="s">
        <v>864</v>
      </c>
      <c r="Q196" s="20" t="s">
        <v>53</v>
      </c>
      <c r="R196" s="21" t="s">
        <v>1117</v>
      </c>
    </row>
    <row r="197" spans="1:18" x14ac:dyDescent="0.3">
      <c r="A197" s="21">
        <f t="shared" si="2"/>
        <v>196</v>
      </c>
      <c r="B197" s="21" t="s">
        <v>35</v>
      </c>
      <c r="C197" s="21" t="s">
        <v>1351</v>
      </c>
      <c r="D197" s="21" t="s">
        <v>30</v>
      </c>
      <c r="E197" s="21" t="s">
        <v>865</v>
      </c>
      <c r="F197" s="21" t="s">
        <v>866</v>
      </c>
      <c r="G197" s="21" t="s">
        <v>867</v>
      </c>
      <c r="H197" s="20" t="s">
        <v>868</v>
      </c>
      <c r="I197" s="20" t="s">
        <v>869</v>
      </c>
      <c r="J197" s="21">
        <v>15</v>
      </c>
      <c r="K197" s="21">
        <v>27</v>
      </c>
      <c r="L197" s="34">
        <v>405</v>
      </c>
      <c r="M197" s="20" t="s">
        <v>49</v>
      </c>
      <c r="N197" s="20" t="s">
        <v>50</v>
      </c>
      <c r="O197" s="21" t="s">
        <v>870</v>
      </c>
      <c r="P197" s="21" t="s">
        <v>871</v>
      </c>
      <c r="Q197" s="20" t="s">
        <v>53</v>
      </c>
      <c r="R197" s="21" t="s">
        <v>1117</v>
      </c>
    </row>
    <row r="198" spans="1:18" x14ac:dyDescent="0.3">
      <c r="A198" s="21">
        <f t="shared" si="2"/>
        <v>197</v>
      </c>
      <c r="B198" s="21" t="s">
        <v>35</v>
      </c>
      <c r="C198" s="21" t="s">
        <v>1351</v>
      </c>
      <c r="D198" s="21" t="s">
        <v>30</v>
      </c>
      <c r="E198" s="21" t="s">
        <v>865</v>
      </c>
      <c r="F198" s="21" t="s">
        <v>872</v>
      </c>
      <c r="G198" s="21" t="s">
        <v>873</v>
      </c>
      <c r="H198" s="20" t="s">
        <v>874</v>
      </c>
      <c r="I198" s="20" t="s">
        <v>875</v>
      </c>
      <c r="J198" s="21">
        <v>15</v>
      </c>
      <c r="K198" s="21">
        <v>27</v>
      </c>
      <c r="L198" s="34">
        <v>405</v>
      </c>
      <c r="M198" s="20" t="s">
        <v>49</v>
      </c>
      <c r="N198" s="20" t="s">
        <v>50</v>
      </c>
      <c r="O198" s="21" t="s">
        <v>876</v>
      </c>
      <c r="P198" s="21" t="s">
        <v>877</v>
      </c>
      <c r="Q198" s="20" t="s">
        <v>53</v>
      </c>
      <c r="R198" s="21" t="s">
        <v>1117</v>
      </c>
    </row>
    <row r="199" spans="1:18" x14ac:dyDescent="0.3">
      <c r="A199" s="21">
        <f t="shared" si="2"/>
        <v>198</v>
      </c>
      <c r="B199" s="21" t="s">
        <v>35</v>
      </c>
      <c r="C199" s="21" t="s">
        <v>1351</v>
      </c>
      <c r="D199" s="21" t="s">
        <v>30</v>
      </c>
      <c r="E199" s="21" t="s">
        <v>878</v>
      </c>
      <c r="F199" s="21" t="s">
        <v>879</v>
      </c>
      <c r="G199" s="21" t="s">
        <v>880</v>
      </c>
      <c r="H199" s="20" t="s">
        <v>881</v>
      </c>
      <c r="I199" s="20" t="s">
        <v>882</v>
      </c>
      <c r="J199" s="21">
        <v>25</v>
      </c>
      <c r="K199" s="21">
        <v>32</v>
      </c>
      <c r="L199" s="34">
        <v>480</v>
      </c>
      <c r="M199" s="20" t="s">
        <v>49</v>
      </c>
      <c r="N199" s="20" t="s">
        <v>50</v>
      </c>
      <c r="O199" s="21" t="s">
        <v>883</v>
      </c>
      <c r="P199" s="21" t="s">
        <v>884</v>
      </c>
      <c r="Q199" s="20" t="s">
        <v>53</v>
      </c>
      <c r="R199" s="21" t="s">
        <v>1117</v>
      </c>
    </row>
    <row r="200" spans="1:18" x14ac:dyDescent="0.3">
      <c r="A200" s="21">
        <f t="shared" si="2"/>
        <v>199</v>
      </c>
      <c r="B200" s="21" t="s">
        <v>35</v>
      </c>
      <c r="C200" s="21" t="s">
        <v>1351</v>
      </c>
      <c r="D200" s="21" t="s">
        <v>30</v>
      </c>
      <c r="E200" s="21" t="s">
        <v>885</v>
      </c>
      <c r="F200" s="21" t="s">
        <v>886</v>
      </c>
      <c r="G200" s="21" t="s">
        <v>887</v>
      </c>
      <c r="H200" s="20" t="s">
        <v>888</v>
      </c>
      <c r="I200" s="20" t="s">
        <v>889</v>
      </c>
      <c r="J200" s="21">
        <v>25</v>
      </c>
      <c r="K200" s="21">
        <v>32</v>
      </c>
      <c r="L200" s="34">
        <v>480</v>
      </c>
      <c r="M200" s="20" t="s">
        <v>49</v>
      </c>
      <c r="N200" s="20" t="s">
        <v>50</v>
      </c>
      <c r="O200" s="21" t="s">
        <v>890</v>
      </c>
      <c r="P200" s="21" t="s">
        <v>891</v>
      </c>
      <c r="Q200" s="20" t="s">
        <v>53</v>
      </c>
      <c r="R200" s="21" t="s">
        <v>1117</v>
      </c>
    </row>
    <row r="201" spans="1:18" x14ac:dyDescent="0.3">
      <c r="A201" s="21">
        <f t="shared" si="2"/>
        <v>200</v>
      </c>
      <c r="B201" s="21" t="s">
        <v>35</v>
      </c>
      <c r="C201" s="21" t="s">
        <v>1351</v>
      </c>
      <c r="D201" s="21" t="s">
        <v>30</v>
      </c>
      <c r="E201" s="21" t="s">
        <v>892</v>
      </c>
      <c r="F201" s="21" t="s">
        <v>893</v>
      </c>
      <c r="G201" s="21" t="s">
        <v>894</v>
      </c>
      <c r="H201" s="20" t="s">
        <v>895</v>
      </c>
      <c r="I201" s="20" t="s">
        <v>896</v>
      </c>
      <c r="J201" s="21">
        <v>25</v>
      </c>
      <c r="K201" s="21">
        <v>32</v>
      </c>
      <c r="L201" s="34">
        <v>480</v>
      </c>
      <c r="M201" s="20" t="s">
        <v>49</v>
      </c>
      <c r="N201" s="20" t="s">
        <v>50</v>
      </c>
      <c r="O201" s="21" t="s">
        <v>897</v>
      </c>
      <c r="P201" s="21" t="s">
        <v>898</v>
      </c>
      <c r="Q201" s="20" t="s">
        <v>53</v>
      </c>
      <c r="R201" s="21" t="s">
        <v>1117</v>
      </c>
    </row>
    <row r="202" spans="1:18" x14ac:dyDescent="0.3">
      <c r="A202" s="21">
        <f t="shared" si="2"/>
        <v>201</v>
      </c>
      <c r="B202" s="21" t="s">
        <v>35</v>
      </c>
      <c r="C202" s="21" t="s">
        <v>1351</v>
      </c>
      <c r="D202" s="21" t="s">
        <v>30</v>
      </c>
      <c r="E202" s="21" t="s">
        <v>899</v>
      </c>
      <c r="F202" s="21" t="s">
        <v>900</v>
      </c>
      <c r="G202" s="21" t="s">
        <v>901</v>
      </c>
      <c r="H202" s="20" t="s">
        <v>902</v>
      </c>
      <c r="I202" s="20" t="s">
        <v>903</v>
      </c>
      <c r="J202" s="21">
        <v>25</v>
      </c>
      <c r="K202" s="21">
        <v>31</v>
      </c>
      <c r="L202" s="34">
        <v>465</v>
      </c>
      <c r="M202" s="20" t="s">
        <v>49</v>
      </c>
      <c r="N202" s="20" t="s">
        <v>50</v>
      </c>
      <c r="O202" s="21" t="s">
        <v>904</v>
      </c>
      <c r="P202" s="21" t="s">
        <v>905</v>
      </c>
      <c r="Q202" s="20" t="s">
        <v>53</v>
      </c>
      <c r="R202" s="21" t="s">
        <v>1117</v>
      </c>
    </row>
    <row r="203" spans="1:18" x14ac:dyDescent="0.3">
      <c r="A203" s="21">
        <f t="shared" si="2"/>
        <v>202</v>
      </c>
      <c r="B203" s="21" t="s">
        <v>35</v>
      </c>
      <c r="C203" s="21" t="s">
        <v>1351</v>
      </c>
      <c r="D203" s="21" t="s">
        <v>33</v>
      </c>
      <c r="E203" s="21" t="s">
        <v>906</v>
      </c>
      <c r="F203" s="21" t="s">
        <v>907</v>
      </c>
      <c r="G203" s="21" t="s">
        <v>908</v>
      </c>
      <c r="H203" s="20" t="s">
        <v>909</v>
      </c>
      <c r="I203" s="20" t="s">
        <v>910</v>
      </c>
      <c r="J203" s="21">
        <v>20</v>
      </c>
      <c r="K203" s="21">
        <v>17</v>
      </c>
      <c r="L203" s="34">
        <v>255</v>
      </c>
      <c r="M203" s="20" t="s">
        <v>49</v>
      </c>
      <c r="N203" s="20" t="s">
        <v>50</v>
      </c>
      <c r="O203" s="21" t="s">
        <v>911</v>
      </c>
      <c r="P203" s="21" t="s">
        <v>912</v>
      </c>
      <c r="Q203" s="20" t="s">
        <v>53</v>
      </c>
      <c r="R203" s="21" t="s">
        <v>1117</v>
      </c>
    </row>
    <row r="204" spans="1:18" x14ac:dyDescent="0.3">
      <c r="A204" s="21">
        <f t="shared" si="2"/>
        <v>203</v>
      </c>
      <c r="B204" s="21" t="s">
        <v>35</v>
      </c>
      <c r="C204" s="21" t="s">
        <v>1351</v>
      </c>
      <c r="D204" s="21" t="s">
        <v>33</v>
      </c>
      <c r="E204" s="21" t="s">
        <v>913</v>
      </c>
      <c r="F204" s="21" t="s">
        <v>590</v>
      </c>
      <c r="G204" s="21" t="s">
        <v>914</v>
      </c>
      <c r="H204" s="20" t="s">
        <v>915</v>
      </c>
      <c r="I204" s="20" t="s">
        <v>916</v>
      </c>
      <c r="J204" s="21">
        <v>20</v>
      </c>
      <c r="K204" s="21">
        <v>15</v>
      </c>
      <c r="L204" s="34">
        <v>225</v>
      </c>
      <c r="M204" s="20" t="s">
        <v>49</v>
      </c>
      <c r="N204" s="20" t="s">
        <v>50</v>
      </c>
      <c r="O204" s="21" t="s">
        <v>917</v>
      </c>
      <c r="P204" s="21" t="s">
        <v>918</v>
      </c>
      <c r="Q204" s="20" t="s">
        <v>53</v>
      </c>
      <c r="R204" s="21" t="s">
        <v>1117</v>
      </c>
    </row>
    <row r="205" spans="1:18" x14ac:dyDescent="0.3">
      <c r="A205" s="21">
        <f t="shared" si="2"/>
        <v>204</v>
      </c>
      <c r="B205" s="21" t="s">
        <v>35</v>
      </c>
      <c r="C205" s="21" t="s">
        <v>1351</v>
      </c>
      <c r="D205" s="21" t="s">
        <v>33</v>
      </c>
      <c r="E205" s="21" t="s">
        <v>913</v>
      </c>
      <c r="F205" s="21" t="s">
        <v>919</v>
      </c>
      <c r="G205" s="21" t="s">
        <v>920</v>
      </c>
      <c r="H205" s="20" t="s">
        <v>921</v>
      </c>
      <c r="I205" s="20" t="s">
        <v>922</v>
      </c>
      <c r="J205" s="21">
        <v>17</v>
      </c>
      <c r="K205" s="21">
        <v>16</v>
      </c>
      <c r="L205" s="34">
        <v>240</v>
      </c>
      <c r="M205" s="20" t="s">
        <v>49</v>
      </c>
      <c r="N205" s="20" t="s">
        <v>50</v>
      </c>
      <c r="O205" s="21" t="s">
        <v>923</v>
      </c>
      <c r="P205" s="21" t="s">
        <v>924</v>
      </c>
      <c r="Q205" s="20" t="s">
        <v>53</v>
      </c>
      <c r="R205" s="21" t="s">
        <v>1117</v>
      </c>
    </row>
    <row r="206" spans="1:18" x14ac:dyDescent="0.3">
      <c r="A206" s="21">
        <f t="shared" si="2"/>
        <v>205</v>
      </c>
      <c r="B206" s="21" t="s">
        <v>35</v>
      </c>
      <c r="C206" s="21" t="s">
        <v>1351</v>
      </c>
      <c r="D206" s="21" t="s">
        <v>33</v>
      </c>
      <c r="E206" s="21" t="s">
        <v>913</v>
      </c>
      <c r="F206" s="21" t="s">
        <v>925</v>
      </c>
      <c r="G206" s="21" t="s">
        <v>926</v>
      </c>
      <c r="H206" s="20" t="s">
        <v>927</v>
      </c>
      <c r="I206" s="20" t="s">
        <v>928</v>
      </c>
      <c r="J206" s="21">
        <v>21</v>
      </c>
      <c r="K206" s="21">
        <v>14</v>
      </c>
      <c r="L206" s="34">
        <v>210</v>
      </c>
      <c r="M206" s="20" t="s">
        <v>49</v>
      </c>
      <c r="N206" s="20" t="s">
        <v>50</v>
      </c>
      <c r="O206" s="21" t="s">
        <v>929</v>
      </c>
      <c r="P206" s="21" t="s">
        <v>930</v>
      </c>
      <c r="Q206" s="20" t="s">
        <v>53</v>
      </c>
      <c r="R206" s="21" t="s">
        <v>1117</v>
      </c>
    </row>
    <row r="207" spans="1:18" x14ac:dyDescent="0.3">
      <c r="A207" s="21">
        <f t="shared" si="2"/>
        <v>206</v>
      </c>
      <c r="B207" s="21" t="s">
        <v>35</v>
      </c>
      <c r="C207" s="21" t="s">
        <v>1351</v>
      </c>
      <c r="D207" s="21" t="s">
        <v>33</v>
      </c>
      <c r="E207" s="21" t="s">
        <v>931</v>
      </c>
      <c r="F207" s="21" t="s">
        <v>932</v>
      </c>
      <c r="G207" s="21" t="s">
        <v>933</v>
      </c>
      <c r="H207" s="20" t="s">
        <v>934</v>
      </c>
      <c r="I207" s="20" t="s">
        <v>935</v>
      </c>
      <c r="J207" s="21">
        <v>20</v>
      </c>
      <c r="K207" s="21">
        <v>14</v>
      </c>
      <c r="L207" s="34">
        <v>210</v>
      </c>
      <c r="M207" s="20" t="s">
        <v>49</v>
      </c>
      <c r="N207" s="20" t="s">
        <v>50</v>
      </c>
      <c r="O207" s="21" t="s">
        <v>936</v>
      </c>
      <c r="P207" s="21" t="s">
        <v>937</v>
      </c>
      <c r="Q207" s="20" t="s">
        <v>53</v>
      </c>
      <c r="R207" s="21" t="s">
        <v>1117</v>
      </c>
    </row>
    <row r="208" spans="1:18" x14ac:dyDescent="0.3">
      <c r="A208" s="21">
        <f t="shared" si="2"/>
        <v>207</v>
      </c>
      <c r="B208" s="21" t="s">
        <v>35</v>
      </c>
      <c r="C208" s="21" t="s">
        <v>1351</v>
      </c>
      <c r="D208" s="21" t="s">
        <v>33</v>
      </c>
      <c r="E208" s="21" t="s">
        <v>931</v>
      </c>
      <c r="F208" s="21" t="s">
        <v>938</v>
      </c>
      <c r="G208" s="21" t="s">
        <v>939</v>
      </c>
      <c r="H208" s="20" t="s">
        <v>940</v>
      </c>
      <c r="I208" s="20" t="s">
        <v>941</v>
      </c>
      <c r="J208" s="21">
        <v>18</v>
      </c>
      <c r="K208" s="21">
        <v>18</v>
      </c>
      <c r="L208" s="34">
        <v>270</v>
      </c>
      <c r="M208" s="20" t="s">
        <v>49</v>
      </c>
      <c r="N208" s="20" t="s">
        <v>50</v>
      </c>
      <c r="O208" s="21" t="s">
        <v>942</v>
      </c>
      <c r="P208" s="21" t="s">
        <v>943</v>
      </c>
      <c r="Q208" s="20" t="s">
        <v>53</v>
      </c>
      <c r="R208" s="21" t="s">
        <v>1117</v>
      </c>
    </row>
    <row r="209" spans="1:18" x14ac:dyDescent="0.3">
      <c r="A209" s="21">
        <f t="shared" si="2"/>
        <v>208</v>
      </c>
      <c r="B209" s="21" t="s">
        <v>35</v>
      </c>
      <c r="C209" s="21" t="s">
        <v>1351</v>
      </c>
      <c r="D209" s="21" t="s">
        <v>33</v>
      </c>
      <c r="E209" s="21" t="s">
        <v>944</v>
      </c>
      <c r="F209" s="21" t="s">
        <v>945</v>
      </c>
      <c r="G209" s="21" t="s">
        <v>946</v>
      </c>
      <c r="H209" s="20" t="s">
        <v>947</v>
      </c>
      <c r="I209" s="20" t="s">
        <v>948</v>
      </c>
      <c r="J209" s="21">
        <v>20</v>
      </c>
      <c r="K209" s="21">
        <v>14</v>
      </c>
      <c r="L209" s="34">
        <v>210</v>
      </c>
      <c r="M209" s="20" t="s">
        <v>49</v>
      </c>
      <c r="N209" s="20" t="s">
        <v>50</v>
      </c>
      <c r="O209" s="21" t="s">
        <v>949</v>
      </c>
      <c r="P209" s="21" t="s">
        <v>950</v>
      </c>
      <c r="Q209" s="20" t="s">
        <v>53</v>
      </c>
      <c r="R209" s="21" t="s">
        <v>1117</v>
      </c>
    </row>
    <row r="210" spans="1:18" x14ac:dyDescent="0.3">
      <c r="A210" s="21">
        <f t="shared" si="2"/>
        <v>209</v>
      </c>
      <c r="B210" s="21" t="s">
        <v>35</v>
      </c>
      <c r="C210" s="21" t="s">
        <v>1351</v>
      </c>
      <c r="D210" s="21" t="s">
        <v>33</v>
      </c>
      <c r="E210" s="21" t="s">
        <v>944</v>
      </c>
      <c r="F210" s="21" t="s">
        <v>951</v>
      </c>
      <c r="G210" s="21" t="s">
        <v>952</v>
      </c>
      <c r="H210" s="20" t="s">
        <v>953</v>
      </c>
      <c r="I210" s="20" t="s">
        <v>954</v>
      </c>
      <c r="J210" s="21">
        <v>20</v>
      </c>
      <c r="K210" s="21">
        <v>16</v>
      </c>
      <c r="L210" s="34">
        <v>240</v>
      </c>
      <c r="M210" s="20" t="s">
        <v>49</v>
      </c>
      <c r="N210" s="20" t="s">
        <v>50</v>
      </c>
      <c r="O210" s="21" t="s">
        <v>955</v>
      </c>
      <c r="P210" s="21" t="s">
        <v>956</v>
      </c>
      <c r="Q210" s="20" t="s">
        <v>53</v>
      </c>
      <c r="R210" s="21" t="s">
        <v>1117</v>
      </c>
    </row>
    <row r="211" spans="1:18" x14ac:dyDescent="0.3">
      <c r="A211" s="21">
        <f t="shared" si="2"/>
        <v>210</v>
      </c>
      <c r="B211" s="21" t="s">
        <v>35</v>
      </c>
      <c r="C211" s="21" t="s">
        <v>1351</v>
      </c>
      <c r="D211" s="21" t="s">
        <v>33</v>
      </c>
      <c r="E211" s="21" t="s">
        <v>957</v>
      </c>
      <c r="F211" s="21" t="s">
        <v>958</v>
      </c>
      <c r="G211" s="21" t="s">
        <v>959</v>
      </c>
      <c r="H211" s="20" t="s">
        <v>960</v>
      </c>
      <c r="I211" s="20" t="s">
        <v>961</v>
      </c>
      <c r="J211" s="21">
        <v>25</v>
      </c>
      <c r="K211" s="21">
        <v>20</v>
      </c>
      <c r="L211" s="34">
        <v>300</v>
      </c>
      <c r="M211" s="20" t="s">
        <v>49</v>
      </c>
      <c r="N211" s="20" t="s">
        <v>50</v>
      </c>
      <c r="O211" s="21" t="s">
        <v>962</v>
      </c>
      <c r="P211" s="21" t="s">
        <v>963</v>
      </c>
      <c r="Q211" s="20" t="s">
        <v>53</v>
      </c>
      <c r="R211" s="21" t="s">
        <v>1117</v>
      </c>
    </row>
    <row r="212" spans="1:18" x14ac:dyDescent="0.3">
      <c r="A212" s="21">
        <f t="shared" ref="A212:A235" si="3">IF(D212="","",ROW()-1)</f>
        <v>211</v>
      </c>
      <c r="B212" s="21" t="s">
        <v>35</v>
      </c>
      <c r="C212" s="21" t="s">
        <v>1351</v>
      </c>
      <c r="D212" s="21" t="s">
        <v>33</v>
      </c>
      <c r="E212" s="21" t="s">
        <v>957</v>
      </c>
      <c r="F212" s="21" t="s">
        <v>964</v>
      </c>
      <c r="G212" s="21" t="s">
        <v>965</v>
      </c>
      <c r="H212" s="20" t="s">
        <v>966</v>
      </c>
      <c r="I212" s="20" t="s">
        <v>967</v>
      </c>
      <c r="J212" s="21">
        <v>27</v>
      </c>
      <c r="K212" s="21">
        <v>20</v>
      </c>
      <c r="L212" s="34">
        <v>300</v>
      </c>
      <c r="M212" s="20" t="s">
        <v>49</v>
      </c>
      <c r="N212" s="20" t="s">
        <v>50</v>
      </c>
      <c r="O212" s="21" t="s">
        <v>968</v>
      </c>
      <c r="P212" s="21" t="s">
        <v>969</v>
      </c>
      <c r="Q212" s="20" t="s">
        <v>53</v>
      </c>
      <c r="R212" s="21" t="s">
        <v>1117</v>
      </c>
    </row>
    <row r="213" spans="1:18" x14ac:dyDescent="0.3">
      <c r="A213" s="21">
        <f t="shared" si="3"/>
        <v>212</v>
      </c>
      <c r="B213" s="21" t="s">
        <v>35</v>
      </c>
      <c r="C213" s="21" t="s">
        <v>1351</v>
      </c>
      <c r="D213" s="21" t="s">
        <v>33</v>
      </c>
      <c r="E213" s="21" t="s">
        <v>970</v>
      </c>
      <c r="F213" s="21" t="s">
        <v>971</v>
      </c>
      <c r="G213" s="21" t="s">
        <v>972</v>
      </c>
      <c r="H213" s="20" t="s">
        <v>973</v>
      </c>
      <c r="I213" s="20" t="s">
        <v>974</v>
      </c>
      <c r="J213" s="21">
        <v>26</v>
      </c>
      <c r="K213" s="21">
        <v>19</v>
      </c>
      <c r="L213" s="34">
        <v>285</v>
      </c>
      <c r="M213" s="20" t="s">
        <v>49</v>
      </c>
      <c r="N213" s="20" t="s">
        <v>50</v>
      </c>
      <c r="O213" s="21" t="s">
        <v>975</v>
      </c>
      <c r="P213" s="21" t="s">
        <v>976</v>
      </c>
      <c r="Q213" s="20" t="s">
        <v>53</v>
      </c>
      <c r="R213" s="21" t="s">
        <v>1117</v>
      </c>
    </row>
    <row r="214" spans="1:18" x14ac:dyDescent="0.3">
      <c r="A214" s="21">
        <f t="shared" si="3"/>
        <v>213</v>
      </c>
      <c r="B214" s="21" t="s">
        <v>35</v>
      </c>
      <c r="C214" s="21" t="s">
        <v>1351</v>
      </c>
      <c r="D214" s="21" t="s">
        <v>33</v>
      </c>
      <c r="E214" s="21" t="s">
        <v>970</v>
      </c>
      <c r="F214" s="21" t="s">
        <v>977</v>
      </c>
      <c r="G214" s="21" t="s">
        <v>978</v>
      </c>
      <c r="H214" s="20" t="s">
        <v>979</v>
      </c>
      <c r="I214" s="20" t="s">
        <v>980</v>
      </c>
      <c r="J214" s="21">
        <v>23</v>
      </c>
      <c r="K214" s="21">
        <v>19</v>
      </c>
      <c r="L214" s="34">
        <v>285</v>
      </c>
      <c r="M214" s="20" t="s">
        <v>49</v>
      </c>
      <c r="N214" s="20" t="s">
        <v>50</v>
      </c>
      <c r="O214" s="21" t="s">
        <v>981</v>
      </c>
      <c r="P214" s="21" t="s">
        <v>982</v>
      </c>
      <c r="Q214" s="20" t="s">
        <v>53</v>
      </c>
      <c r="R214" s="21" t="s">
        <v>1117</v>
      </c>
    </row>
    <row r="215" spans="1:18" x14ac:dyDescent="0.3">
      <c r="A215" s="21">
        <f t="shared" si="3"/>
        <v>214</v>
      </c>
      <c r="B215" s="21" t="s">
        <v>35</v>
      </c>
      <c r="C215" s="21" t="s">
        <v>1351</v>
      </c>
      <c r="D215" s="21" t="s">
        <v>33</v>
      </c>
      <c r="E215" s="21" t="s">
        <v>970</v>
      </c>
      <c r="F215" s="21" t="s">
        <v>983</v>
      </c>
      <c r="G215" s="21" t="s">
        <v>984</v>
      </c>
      <c r="H215" s="20" t="s">
        <v>985</v>
      </c>
      <c r="I215" s="20" t="s">
        <v>986</v>
      </c>
      <c r="J215" s="21">
        <v>16</v>
      </c>
      <c r="K215" s="21">
        <v>13</v>
      </c>
      <c r="L215" s="34">
        <v>195</v>
      </c>
      <c r="M215" s="20" t="s">
        <v>49</v>
      </c>
      <c r="N215" s="20" t="s">
        <v>50</v>
      </c>
      <c r="O215" s="21" t="s">
        <v>987</v>
      </c>
      <c r="P215" s="21" t="s">
        <v>988</v>
      </c>
      <c r="Q215" s="20" t="s">
        <v>53</v>
      </c>
      <c r="R215" s="21" t="s">
        <v>1117</v>
      </c>
    </row>
    <row r="216" spans="1:18" x14ac:dyDescent="0.3">
      <c r="A216" s="21">
        <f t="shared" si="3"/>
        <v>215</v>
      </c>
      <c r="B216" s="21" t="s">
        <v>35</v>
      </c>
      <c r="C216" s="21" t="s">
        <v>1351</v>
      </c>
      <c r="D216" s="21" t="s">
        <v>33</v>
      </c>
      <c r="E216" s="21" t="s">
        <v>970</v>
      </c>
      <c r="F216" s="21" t="s">
        <v>989</v>
      </c>
      <c r="G216" s="21" t="s">
        <v>990</v>
      </c>
      <c r="H216" s="20" t="s">
        <v>991</v>
      </c>
      <c r="I216" s="20" t="s">
        <v>986</v>
      </c>
      <c r="J216" s="21">
        <v>20</v>
      </c>
      <c r="K216" s="21">
        <v>10</v>
      </c>
      <c r="L216" s="34">
        <v>150</v>
      </c>
      <c r="M216" s="20" t="s">
        <v>49</v>
      </c>
      <c r="N216" s="20" t="s">
        <v>50</v>
      </c>
      <c r="O216" s="21" t="s">
        <v>992</v>
      </c>
      <c r="P216" s="21" t="s">
        <v>993</v>
      </c>
      <c r="Q216" s="20" t="s">
        <v>53</v>
      </c>
      <c r="R216" s="21" t="s">
        <v>1117</v>
      </c>
    </row>
    <row r="217" spans="1:18" x14ac:dyDescent="0.3">
      <c r="A217" s="21">
        <f t="shared" si="3"/>
        <v>216</v>
      </c>
      <c r="B217" s="21" t="s">
        <v>35</v>
      </c>
      <c r="C217" s="21" t="s">
        <v>1351</v>
      </c>
      <c r="D217" s="21" t="s">
        <v>33</v>
      </c>
      <c r="E217" s="21" t="s">
        <v>970</v>
      </c>
      <c r="F217" s="21" t="s">
        <v>99</v>
      </c>
      <c r="G217" s="21" t="s">
        <v>994</v>
      </c>
      <c r="H217" s="20" t="s">
        <v>995</v>
      </c>
      <c r="I217" s="20" t="s">
        <v>996</v>
      </c>
      <c r="J217" s="21">
        <v>24</v>
      </c>
      <c r="K217" s="21">
        <v>12</v>
      </c>
      <c r="L217" s="34">
        <v>180</v>
      </c>
      <c r="M217" s="20" t="s">
        <v>49</v>
      </c>
      <c r="N217" s="20" t="s">
        <v>50</v>
      </c>
      <c r="O217" s="21" t="s">
        <v>997</v>
      </c>
      <c r="P217" s="21" t="s">
        <v>998</v>
      </c>
      <c r="Q217" s="20" t="s">
        <v>53</v>
      </c>
      <c r="R217" s="21" t="s">
        <v>1117</v>
      </c>
    </row>
    <row r="218" spans="1:18" x14ac:dyDescent="0.3">
      <c r="A218" s="21">
        <f t="shared" si="3"/>
        <v>217</v>
      </c>
      <c r="B218" s="21" t="s">
        <v>35</v>
      </c>
      <c r="C218" s="21" t="s">
        <v>1351</v>
      </c>
      <c r="D218" s="21" t="s">
        <v>33</v>
      </c>
      <c r="E218" s="21" t="s">
        <v>970</v>
      </c>
      <c r="F218" s="21" t="s">
        <v>999</v>
      </c>
      <c r="G218" s="21" t="s">
        <v>1000</v>
      </c>
      <c r="H218" s="20" t="s">
        <v>1001</v>
      </c>
      <c r="I218" s="20" t="s">
        <v>1002</v>
      </c>
      <c r="J218" s="21">
        <v>27</v>
      </c>
      <c r="K218" s="21">
        <v>10</v>
      </c>
      <c r="L218" s="34">
        <v>150</v>
      </c>
      <c r="M218" s="20" t="s">
        <v>49</v>
      </c>
      <c r="N218" s="20" t="s">
        <v>50</v>
      </c>
      <c r="O218" s="21" t="s">
        <v>1003</v>
      </c>
      <c r="P218" s="21" t="s">
        <v>1004</v>
      </c>
      <c r="Q218" s="20" t="s">
        <v>53</v>
      </c>
      <c r="R218" s="21" t="s">
        <v>1117</v>
      </c>
    </row>
    <row r="219" spans="1:18" x14ac:dyDescent="0.3">
      <c r="A219" s="21">
        <f t="shared" si="3"/>
        <v>218</v>
      </c>
      <c r="B219" s="21" t="s">
        <v>35</v>
      </c>
      <c r="C219" s="21" t="s">
        <v>1351</v>
      </c>
      <c r="D219" s="21" t="s">
        <v>33</v>
      </c>
      <c r="E219" s="21" t="s">
        <v>1005</v>
      </c>
      <c r="F219" s="21" t="s">
        <v>1006</v>
      </c>
      <c r="G219" s="21" t="s">
        <v>1007</v>
      </c>
      <c r="H219" s="20" t="s">
        <v>1008</v>
      </c>
      <c r="I219" s="20" t="s">
        <v>1009</v>
      </c>
      <c r="J219" s="21">
        <v>20</v>
      </c>
      <c r="K219" s="21">
        <v>10</v>
      </c>
      <c r="L219" s="34">
        <v>150</v>
      </c>
      <c r="M219" s="20" t="s">
        <v>49</v>
      </c>
      <c r="N219" s="20" t="s">
        <v>50</v>
      </c>
      <c r="O219" s="21" t="s">
        <v>1010</v>
      </c>
      <c r="P219" s="21" t="s">
        <v>1011</v>
      </c>
      <c r="Q219" s="20" t="s">
        <v>53</v>
      </c>
      <c r="R219" s="21" t="s">
        <v>1117</v>
      </c>
    </row>
    <row r="220" spans="1:18" x14ac:dyDescent="0.3">
      <c r="A220" s="21">
        <f t="shared" si="3"/>
        <v>219</v>
      </c>
      <c r="B220" s="21" t="s">
        <v>35</v>
      </c>
      <c r="C220" s="21" t="s">
        <v>1351</v>
      </c>
      <c r="D220" s="21" t="s">
        <v>24</v>
      </c>
      <c r="E220" s="21" t="s">
        <v>1012</v>
      </c>
      <c r="F220" s="21" t="s">
        <v>1013</v>
      </c>
      <c r="G220" s="21" t="s">
        <v>1014</v>
      </c>
      <c r="H220" s="20" t="s">
        <v>1015</v>
      </c>
      <c r="I220" s="20" t="s">
        <v>1016</v>
      </c>
      <c r="J220" s="21">
        <v>23</v>
      </c>
      <c r="K220" s="21">
        <v>12</v>
      </c>
      <c r="L220" s="34">
        <v>180</v>
      </c>
      <c r="M220" s="20" t="s">
        <v>49</v>
      </c>
      <c r="N220" s="20" t="s">
        <v>50</v>
      </c>
      <c r="O220" s="21" t="s">
        <v>1017</v>
      </c>
      <c r="P220" s="21" t="s">
        <v>1018</v>
      </c>
      <c r="Q220" s="20" t="s">
        <v>53</v>
      </c>
      <c r="R220" s="21" t="s">
        <v>1117</v>
      </c>
    </row>
    <row r="221" spans="1:18" x14ac:dyDescent="0.3">
      <c r="A221" s="21">
        <f t="shared" si="3"/>
        <v>220</v>
      </c>
      <c r="B221" s="21" t="s">
        <v>35</v>
      </c>
      <c r="C221" s="21" t="s">
        <v>1351</v>
      </c>
      <c r="D221" s="21" t="s">
        <v>24</v>
      </c>
      <c r="E221" s="21" t="s">
        <v>1019</v>
      </c>
      <c r="F221" s="21" t="s">
        <v>1020</v>
      </c>
      <c r="G221" s="21" t="s">
        <v>1021</v>
      </c>
      <c r="H221" s="20" t="s">
        <v>1022</v>
      </c>
      <c r="I221" s="20" t="s">
        <v>1023</v>
      </c>
      <c r="J221" s="21">
        <v>21</v>
      </c>
      <c r="K221" s="21">
        <v>12</v>
      </c>
      <c r="L221" s="34">
        <v>180</v>
      </c>
      <c r="M221" s="20" t="s">
        <v>49</v>
      </c>
      <c r="N221" s="20" t="s">
        <v>50</v>
      </c>
      <c r="O221" s="21" t="s">
        <v>1024</v>
      </c>
      <c r="P221" s="21" t="s">
        <v>1025</v>
      </c>
      <c r="Q221" s="20" t="s">
        <v>53</v>
      </c>
      <c r="R221" s="21" t="s">
        <v>1117</v>
      </c>
    </row>
    <row r="222" spans="1:18" x14ac:dyDescent="0.3">
      <c r="A222" s="21">
        <f t="shared" si="3"/>
        <v>221</v>
      </c>
      <c r="B222" s="21" t="s">
        <v>35</v>
      </c>
      <c r="C222" s="21" t="s">
        <v>1351</v>
      </c>
      <c r="D222" s="21" t="s">
        <v>24</v>
      </c>
      <c r="E222" s="21" t="s">
        <v>1019</v>
      </c>
      <c r="F222" s="21" t="s">
        <v>1026</v>
      </c>
      <c r="G222" s="21" t="s">
        <v>1027</v>
      </c>
      <c r="H222" s="20" t="s">
        <v>1028</v>
      </c>
      <c r="I222" s="20" t="s">
        <v>1029</v>
      </c>
      <c r="J222" s="21">
        <v>23</v>
      </c>
      <c r="K222" s="21">
        <v>12</v>
      </c>
      <c r="L222" s="34">
        <v>180</v>
      </c>
      <c r="M222" s="20" t="s">
        <v>49</v>
      </c>
      <c r="N222" s="20" t="s">
        <v>50</v>
      </c>
      <c r="O222" s="21" t="s">
        <v>1030</v>
      </c>
      <c r="P222" s="21" t="s">
        <v>1031</v>
      </c>
      <c r="Q222" s="20" t="s">
        <v>53</v>
      </c>
      <c r="R222" s="21" t="s">
        <v>1117</v>
      </c>
    </row>
    <row r="223" spans="1:18" x14ac:dyDescent="0.3">
      <c r="A223" s="21">
        <f t="shared" si="3"/>
        <v>222</v>
      </c>
      <c r="B223" s="21" t="s">
        <v>35</v>
      </c>
      <c r="C223" s="21" t="s">
        <v>1351</v>
      </c>
      <c r="D223" s="21" t="s">
        <v>24</v>
      </c>
      <c r="E223" s="21" t="s">
        <v>1032</v>
      </c>
      <c r="F223" s="21" t="s">
        <v>120</v>
      </c>
      <c r="G223" s="21" t="s">
        <v>1033</v>
      </c>
      <c r="H223" s="20" t="s">
        <v>1034</v>
      </c>
      <c r="I223" s="20" t="s">
        <v>1035</v>
      </c>
      <c r="J223" s="21">
        <v>34</v>
      </c>
      <c r="K223" s="21">
        <v>12</v>
      </c>
      <c r="L223" s="34">
        <v>180</v>
      </c>
      <c r="M223" s="20" t="s">
        <v>49</v>
      </c>
      <c r="N223" s="20" t="s">
        <v>50</v>
      </c>
      <c r="O223" s="21" t="s">
        <v>1036</v>
      </c>
      <c r="P223" s="21" t="s">
        <v>1037</v>
      </c>
      <c r="Q223" s="20" t="s">
        <v>53</v>
      </c>
      <c r="R223" s="21" t="s">
        <v>1117</v>
      </c>
    </row>
    <row r="224" spans="1:18" x14ac:dyDescent="0.3">
      <c r="A224" s="21">
        <f t="shared" si="3"/>
        <v>223</v>
      </c>
      <c r="B224" s="21" t="s">
        <v>35</v>
      </c>
      <c r="C224" s="21" t="s">
        <v>1351</v>
      </c>
      <c r="D224" s="21" t="s">
        <v>24</v>
      </c>
      <c r="E224" s="21" t="s">
        <v>1038</v>
      </c>
      <c r="F224" s="21" t="s">
        <v>1039</v>
      </c>
      <c r="G224" s="21" t="s">
        <v>1040</v>
      </c>
      <c r="H224" s="20" t="s">
        <v>1041</v>
      </c>
      <c r="I224" s="20" t="s">
        <v>1042</v>
      </c>
      <c r="J224" s="21">
        <v>29</v>
      </c>
      <c r="K224" s="21">
        <v>13</v>
      </c>
      <c r="L224" s="34">
        <v>195</v>
      </c>
      <c r="M224" s="20" t="s">
        <v>49</v>
      </c>
      <c r="N224" s="20" t="s">
        <v>50</v>
      </c>
      <c r="O224" s="21" t="s">
        <v>1043</v>
      </c>
      <c r="P224" s="21" t="s">
        <v>1044</v>
      </c>
      <c r="Q224" s="20" t="s">
        <v>53</v>
      </c>
      <c r="R224" s="21" t="s">
        <v>1117</v>
      </c>
    </row>
    <row r="225" spans="1:18" x14ac:dyDescent="0.3">
      <c r="A225" s="21">
        <f t="shared" si="3"/>
        <v>224</v>
      </c>
      <c r="B225" s="21" t="s">
        <v>35</v>
      </c>
      <c r="C225" s="21" t="s">
        <v>1351</v>
      </c>
      <c r="D225" s="21" t="s">
        <v>24</v>
      </c>
      <c r="E225" s="21" t="s">
        <v>1045</v>
      </c>
      <c r="F225" s="21" t="s">
        <v>1046</v>
      </c>
      <c r="G225" s="21" t="s">
        <v>1047</v>
      </c>
      <c r="H225" s="20" t="s">
        <v>1048</v>
      </c>
      <c r="I225" s="20" t="s">
        <v>1049</v>
      </c>
      <c r="J225" s="21">
        <v>29</v>
      </c>
      <c r="K225" s="21">
        <v>13</v>
      </c>
      <c r="L225" s="34">
        <v>195</v>
      </c>
      <c r="M225" s="20" t="s">
        <v>49</v>
      </c>
      <c r="N225" s="20" t="s">
        <v>50</v>
      </c>
      <c r="O225" s="21" t="s">
        <v>1050</v>
      </c>
      <c r="P225" s="21" t="s">
        <v>1051</v>
      </c>
      <c r="Q225" s="20" t="s">
        <v>53</v>
      </c>
      <c r="R225" s="21" t="s">
        <v>1117</v>
      </c>
    </row>
    <row r="226" spans="1:18" x14ac:dyDescent="0.3">
      <c r="A226" s="21">
        <f t="shared" si="3"/>
        <v>225</v>
      </c>
      <c r="B226" s="21" t="s">
        <v>35</v>
      </c>
      <c r="C226" s="21" t="s">
        <v>1351</v>
      </c>
      <c r="D226" s="21" t="s">
        <v>24</v>
      </c>
      <c r="E226" s="21" t="s">
        <v>1052</v>
      </c>
      <c r="F226" s="21" t="s">
        <v>1053</v>
      </c>
      <c r="G226" s="21" t="s">
        <v>1054</v>
      </c>
      <c r="H226" s="20" t="s">
        <v>1055</v>
      </c>
      <c r="I226" s="20" t="s">
        <v>1056</v>
      </c>
      <c r="J226" s="21">
        <v>17</v>
      </c>
      <c r="K226" s="21">
        <v>13</v>
      </c>
      <c r="L226" s="34">
        <v>195</v>
      </c>
      <c r="M226" s="20" t="s">
        <v>49</v>
      </c>
      <c r="N226" s="20" t="s">
        <v>50</v>
      </c>
      <c r="O226" s="21" t="s">
        <v>1057</v>
      </c>
      <c r="P226" s="21" t="s">
        <v>1058</v>
      </c>
      <c r="Q226" s="20" t="s">
        <v>53</v>
      </c>
      <c r="R226" s="21" t="s">
        <v>1117</v>
      </c>
    </row>
    <row r="227" spans="1:18" x14ac:dyDescent="0.3">
      <c r="A227" s="21">
        <f t="shared" si="3"/>
        <v>226</v>
      </c>
      <c r="B227" s="21" t="s">
        <v>35</v>
      </c>
      <c r="C227" s="21" t="s">
        <v>1351</v>
      </c>
      <c r="D227" s="21" t="s">
        <v>24</v>
      </c>
      <c r="E227" s="21" t="s">
        <v>1032</v>
      </c>
      <c r="F227" s="21" t="s">
        <v>1059</v>
      </c>
      <c r="G227" s="21" t="s">
        <v>1060</v>
      </c>
      <c r="H227" s="20" t="s">
        <v>1061</v>
      </c>
      <c r="I227" s="20" t="s">
        <v>1062</v>
      </c>
      <c r="J227" s="21">
        <v>32</v>
      </c>
      <c r="K227" s="21">
        <v>13</v>
      </c>
      <c r="L227" s="34">
        <v>195</v>
      </c>
      <c r="M227" s="20" t="s">
        <v>49</v>
      </c>
      <c r="N227" s="20" t="s">
        <v>50</v>
      </c>
      <c r="O227" s="21" t="s">
        <v>1063</v>
      </c>
      <c r="P227" s="21" t="s">
        <v>1064</v>
      </c>
      <c r="Q227" s="20" t="s">
        <v>53</v>
      </c>
      <c r="R227" s="21" t="s">
        <v>1117</v>
      </c>
    </row>
    <row r="228" spans="1:18" x14ac:dyDescent="0.3">
      <c r="A228" s="21">
        <f t="shared" si="3"/>
        <v>227</v>
      </c>
      <c r="B228" s="21" t="s">
        <v>35</v>
      </c>
      <c r="C228" s="21" t="s">
        <v>1351</v>
      </c>
      <c r="D228" s="21" t="s">
        <v>22</v>
      </c>
      <c r="E228" s="21" t="s">
        <v>1065</v>
      </c>
      <c r="F228" s="21" t="s">
        <v>1066</v>
      </c>
      <c r="G228" s="21" t="s">
        <v>1067</v>
      </c>
      <c r="H228" s="20" t="s">
        <v>1068</v>
      </c>
      <c r="I228" s="20" t="s">
        <v>1069</v>
      </c>
      <c r="J228" s="21">
        <v>22</v>
      </c>
      <c r="K228" s="21">
        <v>12</v>
      </c>
      <c r="L228" s="34">
        <v>180</v>
      </c>
      <c r="M228" s="20" t="s">
        <v>49</v>
      </c>
      <c r="N228" s="20" t="s">
        <v>50</v>
      </c>
      <c r="O228" s="21" t="s">
        <v>1070</v>
      </c>
      <c r="P228" s="21" t="s">
        <v>1071</v>
      </c>
      <c r="Q228" s="20" t="s">
        <v>53</v>
      </c>
      <c r="R228" s="21" t="s">
        <v>1117</v>
      </c>
    </row>
    <row r="229" spans="1:18" x14ac:dyDescent="0.3">
      <c r="A229" s="21">
        <f t="shared" si="3"/>
        <v>228</v>
      </c>
      <c r="B229" s="21" t="s">
        <v>35</v>
      </c>
      <c r="C229" s="21" t="s">
        <v>1351</v>
      </c>
      <c r="D229" s="21" t="s">
        <v>22</v>
      </c>
      <c r="E229" s="21" t="s">
        <v>1072</v>
      </c>
      <c r="F229" s="21" t="s">
        <v>311</v>
      </c>
      <c r="G229" s="21" t="s">
        <v>1073</v>
      </c>
      <c r="H229" s="20" t="s">
        <v>1074</v>
      </c>
      <c r="I229" s="20" t="s">
        <v>1075</v>
      </c>
      <c r="J229" s="21">
        <v>13</v>
      </c>
      <c r="K229" s="21">
        <v>12</v>
      </c>
      <c r="L229" s="34">
        <v>180</v>
      </c>
      <c r="M229" s="20" t="s">
        <v>49</v>
      </c>
      <c r="N229" s="20" t="s">
        <v>50</v>
      </c>
      <c r="O229" s="21" t="s">
        <v>1076</v>
      </c>
      <c r="P229" s="21" t="s">
        <v>1077</v>
      </c>
      <c r="Q229" s="20" t="s">
        <v>53</v>
      </c>
      <c r="R229" s="21" t="s">
        <v>1117</v>
      </c>
    </row>
    <row r="230" spans="1:18" x14ac:dyDescent="0.3">
      <c r="A230" s="21">
        <f t="shared" si="3"/>
        <v>229</v>
      </c>
      <c r="B230" s="21" t="s">
        <v>35</v>
      </c>
      <c r="C230" s="21" t="s">
        <v>1351</v>
      </c>
      <c r="D230" s="21" t="s">
        <v>22</v>
      </c>
      <c r="E230" s="21" t="s">
        <v>1078</v>
      </c>
      <c r="F230" s="21" t="s">
        <v>1079</v>
      </c>
      <c r="G230" s="21" t="s">
        <v>1080</v>
      </c>
      <c r="H230" s="20" t="s">
        <v>1081</v>
      </c>
      <c r="I230" s="20" t="s">
        <v>1082</v>
      </c>
      <c r="J230" s="21">
        <v>12</v>
      </c>
      <c r="K230" s="21">
        <v>12</v>
      </c>
      <c r="L230" s="34">
        <v>180</v>
      </c>
      <c r="M230" s="20" t="s">
        <v>49</v>
      </c>
      <c r="N230" s="20" t="s">
        <v>50</v>
      </c>
      <c r="O230" s="21" t="s">
        <v>1083</v>
      </c>
      <c r="P230" s="21" t="s">
        <v>1084</v>
      </c>
      <c r="Q230" s="20" t="s">
        <v>53</v>
      </c>
      <c r="R230" s="21" t="s">
        <v>1117</v>
      </c>
    </row>
    <row r="231" spans="1:18" x14ac:dyDescent="0.3">
      <c r="A231" s="21">
        <f t="shared" si="3"/>
        <v>230</v>
      </c>
      <c r="B231" s="21" t="s">
        <v>35</v>
      </c>
      <c r="C231" s="21" t="s">
        <v>1351</v>
      </c>
      <c r="D231" s="21" t="s">
        <v>22</v>
      </c>
      <c r="E231" s="21" t="s">
        <v>1065</v>
      </c>
      <c r="F231" s="21" t="s">
        <v>1085</v>
      </c>
      <c r="G231" s="21" t="s">
        <v>1086</v>
      </c>
      <c r="H231" s="20" t="s">
        <v>1087</v>
      </c>
      <c r="I231" s="20" t="s">
        <v>1088</v>
      </c>
      <c r="J231" s="21">
        <v>11</v>
      </c>
      <c r="K231" s="21">
        <v>12</v>
      </c>
      <c r="L231" s="34">
        <v>180</v>
      </c>
      <c r="M231" s="20" t="s">
        <v>49</v>
      </c>
      <c r="N231" s="20" t="s">
        <v>50</v>
      </c>
      <c r="O231" s="21" t="s">
        <v>1089</v>
      </c>
      <c r="P231" s="21" t="s">
        <v>1090</v>
      </c>
      <c r="Q231" s="20" t="s">
        <v>53</v>
      </c>
      <c r="R231" s="21" t="s">
        <v>1117</v>
      </c>
    </row>
    <row r="232" spans="1:18" x14ac:dyDescent="0.3">
      <c r="A232" s="21">
        <f t="shared" si="3"/>
        <v>231</v>
      </c>
      <c r="B232" s="21" t="s">
        <v>35</v>
      </c>
      <c r="C232" s="21" t="s">
        <v>1351</v>
      </c>
      <c r="D232" s="21" t="s">
        <v>22</v>
      </c>
      <c r="E232" s="21" t="s">
        <v>1072</v>
      </c>
      <c r="F232" s="21" t="s">
        <v>488</v>
      </c>
      <c r="G232" s="21" t="s">
        <v>1091</v>
      </c>
      <c r="H232" s="20" t="s">
        <v>1092</v>
      </c>
      <c r="I232" s="20" t="s">
        <v>1093</v>
      </c>
      <c r="J232" s="21">
        <v>10</v>
      </c>
      <c r="K232" s="21">
        <v>13</v>
      </c>
      <c r="L232" s="34">
        <v>195</v>
      </c>
      <c r="M232" s="20" t="s">
        <v>49</v>
      </c>
      <c r="N232" s="20" t="s">
        <v>50</v>
      </c>
      <c r="O232" s="21" t="s">
        <v>1094</v>
      </c>
      <c r="P232" s="21" t="s">
        <v>1095</v>
      </c>
      <c r="Q232" s="20" t="s">
        <v>53</v>
      </c>
      <c r="R232" s="21" t="s">
        <v>1117</v>
      </c>
    </row>
    <row r="233" spans="1:18" x14ac:dyDescent="0.3">
      <c r="A233" s="21">
        <f t="shared" si="3"/>
        <v>232</v>
      </c>
      <c r="B233" s="21" t="s">
        <v>35</v>
      </c>
      <c r="C233" s="21" t="s">
        <v>1351</v>
      </c>
      <c r="D233" s="21" t="s">
        <v>22</v>
      </c>
      <c r="E233" s="21" t="s">
        <v>1096</v>
      </c>
      <c r="F233" s="21" t="s">
        <v>1097</v>
      </c>
      <c r="G233" s="21" t="s">
        <v>1098</v>
      </c>
      <c r="H233" s="20" t="s">
        <v>1099</v>
      </c>
      <c r="I233" s="20" t="s">
        <v>1100</v>
      </c>
      <c r="J233" s="21">
        <v>28</v>
      </c>
      <c r="K233" s="21">
        <v>13</v>
      </c>
      <c r="L233" s="34">
        <v>195</v>
      </c>
      <c r="M233" s="20" t="s">
        <v>49</v>
      </c>
      <c r="N233" s="20" t="s">
        <v>50</v>
      </c>
      <c r="O233" s="21" t="s">
        <v>1101</v>
      </c>
      <c r="P233" s="21" t="s">
        <v>1102</v>
      </c>
      <c r="Q233" s="20" t="s">
        <v>53</v>
      </c>
      <c r="R233" s="21" t="s">
        <v>1117</v>
      </c>
    </row>
    <row r="234" spans="1:18" x14ac:dyDescent="0.3">
      <c r="A234" s="21">
        <f t="shared" si="3"/>
        <v>233</v>
      </c>
      <c r="B234" s="21" t="s">
        <v>35</v>
      </c>
      <c r="C234" s="21" t="s">
        <v>1351</v>
      </c>
      <c r="D234" s="21" t="s">
        <v>22</v>
      </c>
      <c r="E234" s="21" t="s">
        <v>1065</v>
      </c>
      <c r="F234" s="21" t="s">
        <v>1103</v>
      </c>
      <c r="G234" s="21" t="s">
        <v>1104</v>
      </c>
      <c r="H234" s="20" t="s">
        <v>1105</v>
      </c>
      <c r="I234" s="20" t="s">
        <v>1106</v>
      </c>
      <c r="J234" s="21">
        <v>31</v>
      </c>
      <c r="K234" s="21">
        <v>13</v>
      </c>
      <c r="L234" s="34">
        <v>195</v>
      </c>
      <c r="M234" s="20" t="s">
        <v>49</v>
      </c>
      <c r="N234" s="20" t="s">
        <v>50</v>
      </c>
      <c r="O234" s="21" t="s">
        <v>1107</v>
      </c>
      <c r="P234" s="21" t="s">
        <v>1108</v>
      </c>
      <c r="Q234" s="20" t="s">
        <v>53</v>
      </c>
      <c r="R234" s="21" t="s">
        <v>1117</v>
      </c>
    </row>
    <row r="235" spans="1:18" x14ac:dyDescent="0.3">
      <c r="A235" s="21">
        <f t="shared" si="3"/>
        <v>234</v>
      </c>
      <c r="B235" s="21" t="s">
        <v>35</v>
      </c>
      <c r="C235" s="21" t="s">
        <v>1351</v>
      </c>
      <c r="D235" s="21" t="s">
        <v>22</v>
      </c>
      <c r="E235" s="21" t="s">
        <v>1109</v>
      </c>
      <c r="F235" s="21" t="s">
        <v>1110</v>
      </c>
      <c r="G235" s="21" t="s">
        <v>1111</v>
      </c>
      <c r="H235" s="20" t="s">
        <v>1112</v>
      </c>
      <c r="I235" s="20" t="s">
        <v>1113</v>
      </c>
      <c r="J235" s="21">
        <v>15</v>
      </c>
      <c r="K235" s="21">
        <v>13</v>
      </c>
      <c r="L235" s="34">
        <v>195</v>
      </c>
      <c r="M235" s="20" t="s">
        <v>49</v>
      </c>
      <c r="N235" s="20" t="s">
        <v>50</v>
      </c>
      <c r="O235" s="21" t="s">
        <v>1114</v>
      </c>
      <c r="P235" s="21" t="s">
        <v>1115</v>
      </c>
      <c r="Q235" s="20" t="s">
        <v>53</v>
      </c>
      <c r="R235" s="21" t="s">
        <v>1117</v>
      </c>
    </row>
    <row r="236" spans="1:18" x14ac:dyDescent="0.3">
      <c r="A236" s="21">
        <f>IF(D236="","",ROW()-1)</f>
        <v>235</v>
      </c>
      <c r="B236" s="22" t="s">
        <v>1197</v>
      </c>
      <c r="C236" s="22" t="s">
        <v>1471</v>
      </c>
      <c r="D236" s="22" t="s">
        <v>32</v>
      </c>
      <c r="E236" s="22" t="s">
        <v>1352</v>
      </c>
      <c r="F236" s="22"/>
      <c r="G236" s="22" t="s">
        <v>1381</v>
      </c>
      <c r="H236" s="23"/>
      <c r="I236" s="23"/>
      <c r="J236" s="22">
        <v>1</v>
      </c>
      <c r="K236" s="22">
        <v>1</v>
      </c>
      <c r="L236" s="28">
        <f>K236*15</f>
        <v>15</v>
      </c>
      <c r="M236" s="20"/>
      <c r="N236" s="20"/>
      <c r="O236" s="21"/>
      <c r="P236" s="21"/>
      <c r="Q236" s="20"/>
      <c r="R236" s="21"/>
    </row>
    <row r="237" spans="1:18" x14ac:dyDescent="0.3">
      <c r="A237" s="21">
        <f>IF(D237="","",ROW()-1)</f>
        <v>236</v>
      </c>
      <c r="B237" s="22" t="s">
        <v>1197</v>
      </c>
      <c r="C237" s="22" t="s">
        <v>1471</v>
      </c>
      <c r="D237" s="22" t="s">
        <v>32</v>
      </c>
      <c r="E237" s="22" t="s">
        <v>1352</v>
      </c>
      <c r="F237" s="22"/>
      <c r="G237" s="22" t="s">
        <v>1382</v>
      </c>
      <c r="H237" s="23"/>
      <c r="I237" s="23"/>
      <c r="J237" s="22">
        <v>1</v>
      </c>
      <c r="K237" s="22">
        <v>1</v>
      </c>
      <c r="L237" s="28">
        <f t="shared" ref="L237:L300" si="4">K237*15</f>
        <v>15</v>
      </c>
      <c r="M237" s="20"/>
      <c r="N237" s="20"/>
      <c r="O237" s="21"/>
      <c r="P237" s="21"/>
      <c r="Q237" s="20"/>
      <c r="R237" s="21"/>
    </row>
    <row r="238" spans="1:18" x14ac:dyDescent="0.3">
      <c r="A238" s="21">
        <f>IF(D238="","",ROW()-1)</f>
        <v>237</v>
      </c>
      <c r="B238" s="22" t="s">
        <v>1197</v>
      </c>
      <c r="C238" s="22" t="s">
        <v>1471</v>
      </c>
      <c r="D238" s="22" t="s">
        <v>32</v>
      </c>
      <c r="E238" s="22" t="s">
        <v>1353</v>
      </c>
      <c r="F238" s="22"/>
      <c r="G238" s="22" t="s">
        <v>1383</v>
      </c>
      <c r="H238" s="23"/>
      <c r="I238" s="23"/>
      <c r="J238" s="22">
        <v>1</v>
      </c>
      <c r="K238" s="22">
        <v>1.5</v>
      </c>
      <c r="L238" s="28">
        <f t="shared" si="4"/>
        <v>22.5</v>
      </c>
      <c r="M238" s="20"/>
      <c r="N238" s="20"/>
      <c r="O238" s="21"/>
      <c r="P238" s="21"/>
      <c r="Q238" s="20"/>
      <c r="R238" s="21"/>
    </row>
    <row r="239" spans="1:18" x14ac:dyDescent="0.3">
      <c r="A239" s="21">
        <f>IF(D239="","",ROW()-1)</f>
        <v>238</v>
      </c>
      <c r="B239" s="22" t="s">
        <v>1197</v>
      </c>
      <c r="C239" s="22" t="s">
        <v>1471</v>
      </c>
      <c r="D239" s="22" t="s">
        <v>32</v>
      </c>
      <c r="E239" s="22" t="s">
        <v>1353</v>
      </c>
      <c r="F239" s="22"/>
      <c r="G239" s="22" t="s">
        <v>1384</v>
      </c>
      <c r="H239" s="23"/>
      <c r="I239" s="23"/>
      <c r="J239" s="22">
        <v>1</v>
      </c>
      <c r="K239" s="22">
        <v>1.5</v>
      </c>
      <c r="L239" s="28">
        <f t="shared" si="4"/>
        <v>22.5</v>
      </c>
      <c r="M239" s="20"/>
      <c r="N239" s="20"/>
      <c r="O239" s="21"/>
      <c r="P239" s="21"/>
      <c r="Q239" s="20"/>
      <c r="R239" s="21"/>
    </row>
    <row r="240" spans="1:18" x14ac:dyDescent="0.3">
      <c r="A240" s="21">
        <f>IF(D240="","",ROW()-1)</f>
        <v>239</v>
      </c>
      <c r="B240" s="22" t="s">
        <v>1197</v>
      </c>
      <c r="C240" s="22" t="s">
        <v>1471</v>
      </c>
      <c r="D240" s="22" t="s">
        <v>32</v>
      </c>
      <c r="E240" s="22" t="s">
        <v>1354</v>
      </c>
      <c r="F240" s="22"/>
      <c r="G240" s="22" t="s">
        <v>1385</v>
      </c>
      <c r="H240" s="23"/>
      <c r="I240" s="23"/>
      <c r="J240" s="22">
        <v>1</v>
      </c>
      <c r="K240" s="22">
        <v>4</v>
      </c>
      <c r="L240" s="28">
        <f t="shared" si="4"/>
        <v>60</v>
      </c>
      <c r="M240" s="20"/>
      <c r="N240" s="20"/>
      <c r="O240" s="21"/>
      <c r="P240" s="21"/>
      <c r="Q240" s="20"/>
      <c r="R240" s="21"/>
    </row>
    <row r="241" spans="1:18" x14ac:dyDescent="0.3">
      <c r="A241" s="21">
        <f>IF(D241="","",ROW()-1)</f>
        <v>240</v>
      </c>
      <c r="B241" s="22" t="s">
        <v>1197</v>
      </c>
      <c r="C241" s="22" t="s">
        <v>1471</v>
      </c>
      <c r="D241" s="22" t="s">
        <v>32</v>
      </c>
      <c r="E241" s="22" t="s">
        <v>1355</v>
      </c>
      <c r="F241" s="22"/>
      <c r="G241" s="22" t="s">
        <v>1386</v>
      </c>
      <c r="H241" s="23"/>
      <c r="I241" s="23"/>
      <c r="J241" s="22">
        <v>1</v>
      </c>
      <c r="K241" s="22">
        <v>2</v>
      </c>
      <c r="L241" s="28">
        <f t="shared" si="4"/>
        <v>30</v>
      </c>
      <c r="M241" s="20"/>
      <c r="N241" s="20"/>
      <c r="O241" s="21"/>
      <c r="P241" s="21"/>
      <c r="Q241" s="20"/>
      <c r="R241" s="21"/>
    </row>
    <row r="242" spans="1:18" x14ac:dyDescent="0.3">
      <c r="A242" s="21">
        <f>IF(D242="","",ROW()-1)</f>
        <v>241</v>
      </c>
      <c r="B242" s="22" t="s">
        <v>1197</v>
      </c>
      <c r="C242" s="22" t="s">
        <v>1471</v>
      </c>
      <c r="D242" s="22" t="s">
        <v>32</v>
      </c>
      <c r="E242" s="22" t="s">
        <v>1352</v>
      </c>
      <c r="F242" s="22"/>
      <c r="G242" s="22" t="s">
        <v>1387</v>
      </c>
      <c r="H242" s="23"/>
      <c r="I242" s="23"/>
      <c r="J242" s="22">
        <v>1</v>
      </c>
      <c r="K242" s="22">
        <v>1</v>
      </c>
      <c r="L242" s="28">
        <f t="shared" si="4"/>
        <v>15</v>
      </c>
      <c r="M242" s="20"/>
      <c r="N242" s="20"/>
      <c r="O242" s="21"/>
      <c r="P242" s="21"/>
      <c r="Q242" s="20"/>
      <c r="R242" s="21"/>
    </row>
    <row r="243" spans="1:18" x14ac:dyDescent="0.3">
      <c r="A243" s="21">
        <f>IF(D243="","",ROW()-1)</f>
        <v>242</v>
      </c>
      <c r="B243" s="22" t="s">
        <v>1197</v>
      </c>
      <c r="C243" s="22" t="s">
        <v>1471</v>
      </c>
      <c r="D243" s="22" t="s">
        <v>32</v>
      </c>
      <c r="E243" s="22" t="s">
        <v>1356</v>
      </c>
      <c r="F243" s="22"/>
      <c r="G243" s="22" t="s">
        <v>1388</v>
      </c>
      <c r="H243" s="23"/>
      <c r="I243" s="23"/>
      <c r="J243" s="22">
        <v>1</v>
      </c>
      <c r="K243" s="22">
        <v>1</v>
      </c>
      <c r="L243" s="28">
        <f t="shared" si="4"/>
        <v>15</v>
      </c>
      <c r="M243" s="20"/>
      <c r="N243" s="20"/>
      <c r="O243" s="21"/>
      <c r="P243" s="21"/>
      <c r="Q243" s="20"/>
      <c r="R243" s="21"/>
    </row>
    <row r="244" spans="1:18" x14ac:dyDescent="0.3">
      <c r="A244" s="21">
        <f>IF(D244="","",ROW()-1)</f>
        <v>243</v>
      </c>
      <c r="B244" s="22" t="s">
        <v>1197</v>
      </c>
      <c r="C244" s="22" t="s">
        <v>1471</v>
      </c>
      <c r="D244" s="22" t="s">
        <v>32</v>
      </c>
      <c r="E244" s="22" t="s">
        <v>1354</v>
      </c>
      <c r="F244" s="22"/>
      <c r="G244" s="22" t="s">
        <v>1389</v>
      </c>
      <c r="H244" s="23"/>
      <c r="I244" s="23"/>
      <c r="J244" s="22">
        <v>1</v>
      </c>
      <c r="K244" s="22">
        <v>4</v>
      </c>
      <c r="L244" s="28">
        <f t="shared" si="4"/>
        <v>60</v>
      </c>
      <c r="M244" s="20"/>
      <c r="N244" s="20"/>
      <c r="O244" s="21"/>
      <c r="P244" s="21"/>
      <c r="Q244" s="20"/>
      <c r="R244" s="21"/>
    </row>
    <row r="245" spans="1:18" x14ac:dyDescent="0.3">
      <c r="A245" s="21">
        <f>IF(D245="","",ROW()-1)</f>
        <v>244</v>
      </c>
      <c r="B245" s="22" t="s">
        <v>1197</v>
      </c>
      <c r="C245" s="22" t="s">
        <v>1471</v>
      </c>
      <c r="D245" s="22" t="s">
        <v>32</v>
      </c>
      <c r="E245" s="22" t="s">
        <v>1352</v>
      </c>
      <c r="F245" s="22"/>
      <c r="G245" s="22" t="s">
        <v>1390</v>
      </c>
      <c r="H245" s="23"/>
      <c r="I245" s="23"/>
      <c r="J245" s="22">
        <v>1</v>
      </c>
      <c r="K245" s="22">
        <v>1</v>
      </c>
      <c r="L245" s="28">
        <f t="shared" si="4"/>
        <v>15</v>
      </c>
      <c r="M245" s="20"/>
      <c r="N245" s="20"/>
      <c r="O245" s="21"/>
      <c r="P245" s="21"/>
      <c r="Q245" s="20"/>
      <c r="R245" s="21"/>
    </row>
    <row r="246" spans="1:18" x14ac:dyDescent="0.3">
      <c r="A246" s="21">
        <f>IF(D246="","",ROW()-1)</f>
        <v>245</v>
      </c>
      <c r="B246" s="22" t="s">
        <v>1197</v>
      </c>
      <c r="C246" s="22" t="s">
        <v>1471</v>
      </c>
      <c r="D246" s="22" t="s">
        <v>32</v>
      </c>
      <c r="E246" s="22" t="s">
        <v>1352</v>
      </c>
      <c r="F246" s="22"/>
      <c r="G246" s="22" t="s">
        <v>1391</v>
      </c>
      <c r="H246" s="23"/>
      <c r="I246" s="23"/>
      <c r="J246" s="22">
        <v>1</v>
      </c>
      <c r="K246" s="22">
        <v>1</v>
      </c>
      <c r="L246" s="28">
        <f t="shared" si="4"/>
        <v>15</v>
      </c>
      <c r="M246" s="20"/>
      <c r="N246" s="20"/>
      <c r="O246" s="21"/>
      <c r="P246" s="21"/>
      <c r="Q246" s="20"/>
      <c r="R246" s="21"/>
    </row>
    <row r="247" spans="1:18" x14ac:dyDescent="0.3">
      <c r="A247" s="21">
        <f>IF(D247="","",ROW()-1)</f>
        <v>246</v>
      </c>
      <c r="B247" s="22" t="s">
        <v>1197</v>
      </c>
      <c r="C247" s="22" t="s">
        <v>1471</v>
      </c>
      <c r="D247" s="22" t="s">
        <v>32</v>
      </c>
      <c r="E247" s="22" t="s">
        <v>1354</v>
      </c>
      <c r="F247" s="22"/>
      <c r="G247" s="22" t="s">
        <v>1392</v>
      </c>
      <c r="H247" s="23"/>
      <c r="I247" s="23"/>
      <c r="J247" s="22">
        <v>1</v>
      </c>
      <c r="K247" s="22">
        <v>7</v>
      </c>
      <c r="L247" s="28">
        <f t="shared" si="4"/>
        <v>105</v>
      </c>
      <c r="M247" s="20"/>
      <c r="N247" s="20"/>
      <c r="O247" s="21"/>
      <c r="P247" s="21"/>
      <c r="Q247" s="20"/>
      <c r="R247" s="21"/>
    </row>
    <row r="248" spans="1:18" x14ac:dyDescent="0.3">
      <c r="A248" s="21">
        <f>IF(D248="","",ROW()-1)</f>
        <v>247</v>
      </c>
      <c r="B248" s="22" t="s">
        <v>1197</v>
      </c>
      <c r="C248" s="22" t="s">
        <v>1471</v>
      </c>
      <c r="D248" s="22" t="s">
        <v>32</v>
      </c>
      <c r="E248" s="22" t="s">
        <v>1352</v>
      </c>
      <c r="F248" s="22"/>
      <c r="G248" s="22" t="s">
        <v>1393</v>
      </c>
      <c r="H248" s="23"/>
      <c r="I248" s="23"/>
      <c r="J248" s="22">
        <v>1</v>
      </c>
      <c r="K248" s="22">
        <v>3</v>
      </c>
      <c r="L248" s="28">
        <f t="shared" si="4"/>
        <v>45</v>
      </c>
      <c r="M248" s="20"/>
      <c r="N248" s="20"/>
      <c r="O248" s="21"/>
      <c r="P248" s="21"/>
      <c r="Q248" s="20"/>
      <c r="R248" s="21"/>
    </row>
    <row r="249" spans="1:18" x14ac:dyDescent="0.3">
      <c r="A249" s="21">
        <f>IF(D249="","",ROW()-1)</f>
        <v>248</v>
      </c>
      <c r="B249" s="22" t="s">
        <v>1197</v>
      </c>
      <c r="C249" s="22" t="s">
        <v>1471</v>
      </c>
      <c r="D249" s="22" t="s">
        <v>32</v>
      </c>
      <c r="E249" s="22" t="s">
        <v>1357</v>
      </c>
      <c r="F249" s="22"/>
      <c r="G249" s="22" t="s">
        <v>1394</v>
      </c>
      <c r="H249" s="23"/>
      <c r="I249" s="23"/>
      <c r="J249" s="22">
        <v>1</v>
      </c>
      <c r="K249" s="22">
        <v>0.08</v>
      </c>
      <c r="L249" s="28">
        <f t="shared" si="4"/>
        <v>1.2</v>
      </c>
      <c r="M249" s="20"/>
      <c r="N249" s="20"/>
      <c r="O249" s="21"/>
      <c r="P249" s="21"/>
      <c r="Q249" s="20"/>
      <c r="R249" s="21"/>
    </row>
    <row r="250" spans="1:18" x14ac:dyDescent="0.3">
      <c r="A250" s="21">
        <f t="shared" ref="A250:A313" si="5">IF(D250="","",ROW()-1)</f>
        <v>249</v>
      </c>
      <c r="B250" s="22" t="s">
        <v>1197</v>
      </c>
      <c r="C250" s="22" t="s">
        <v>1471</v>
      </c>
      <c r="D250" s="22" t="s">
        <v>32</v>
      </c>
      <c r="E250" s="22" t="s">
        <v>1357</v>
      </c>
      <c r="F250" s="22"/>
      <c r="G250" s="22" t="s">
        <v>1395</v>
      </c>
      <c r="H250" s="23"/>
      <c r="I250" s="23"/>
      <c r="J250" s="22">
        <v>1</v>
      </c>
      <c r="K250" s="22">
        <v>0.08</v>
      </c>
      <c r="L250" s="28">
        <f t="shared" si="4"/>
        <v>1.2</v>
      </c>
      <c r="M250" s="20"/>
      <c r="N250" s="20"/>
      <c r="O250" s="21"/>
      <c r="P250" s="21"/>
      <c r="Q250" s="20"/>
      <c r="R250" s="21"/>
    </row>
    <row r="251" spans="1:18" x14ac:dyDescent="0.3">
      <c r="A251" s="21">
        <f t="shared" si="5"/>
        <v>250</v>
      </c>
      <c r="B251" s="22" t="s">
        <v>1197</v>
      </c>
      <c r="C251" s="22" t="s">
        <v>1471</v>
      </c>
      <c r="D251" s="22" t="s">
        <v>32</v>
      </c>
      <c r="E251" s="22" t="s">
        <v>1357</v>
      </c>
      <c r="F251" s="22"/>
      <c r="G251" s="22" t="s">
        <v>1396</v>
      </c>
      <c r="H251" s="23"/>
      <c r="I251" s="23"/>
      <c r="J251" s="22">
        <v>1</v>
      </c>
      <c r="K251" s="22">
        <v>0.04</v>
      </c>
      <c r="L251" s="28">
        <f t="shared" si="4"/>
        <v>0.6</v>
      </c>
      <c r="M251" s="20"/>
      <c r="N251" s="20"/>
      <c r="O251" s="21"/>
      <c r="P251" s="21"/>
      <c r="Q251" s="20"/>
      <c r="R251" s="21"/>
    </row>
    <row r="252" spans="1:18" x14ac:dyDescent="0.3">
      <c r="A252" s="21">
        <f t="shared" si="5"/>
        <v>251</v>
      </c>
      <c r="B252" s="22" t="s">
        <v>1197</v>
      </c>
      <c r="C252" s="22" t="s">
        <v>1471</v>
      </c>
      <c r="D252" s="22" t="s">
        <v>32</v>
      </c>
      <c r="E252" s="22" t="s">
        <v>1358</v>
      </c>
      <c r="F252" s="22"/>
      <c r="G252" s="22" t="s">
        <v>1397</v>
      </c>
      <c r="H252" s="23"/>
      <c r="I252" s="23"/>
      <c r="J252" s="22">
        <v>1</v>
      </c>
      <c r="K252" s="22">
        <v>2</v>
      </c>
      <c r="L252" s="28">
        <f t="shared" si="4"/>
        <v>30</v>
      </c>
      <c r="M252" s="20"/>
      <c r="N252" s="20"/>
      <c r="O252" s="21"/>
      <c r="P252" s="21"/>
      <c r="Q252" s="20"/>
      <c r="R252" s="21"/>
    </row>
    <row r="253" spans="1:18" x14ac:dyDescent="0.3">
      <c r="A253" s="21">
        <f t="shared" si="5"/>
        <v>252</v>
      </c>
      <c r="B253" s="22" t="s">
        <v>1197</v>
      </c>
      <c r="C253" s="22" t="s">
        <v>1471</v>
      </c>
      <c r="D253" s="22" t="s">
        <v>32</v>
      </c>
      <c r="E253" s="22" t="s">
        <v>1357</v>
      </c>
      <c r="F253" s="22"/>
      <c r="G253" s="22" t="s">
        <v>1398</v>
      </c>
      <c r="H253" s="23"/>
      <c r="I253" s="23"/>
      <c r="J253" s="22">
        <v>1</v>
      </c>
      <c r="K253" s="22">
        <v>0.12</v>
      </c>
      <c r="L253" s="28">
        <f t="shared" si="4"/>
        <v>1.7999999999999998</v>
      </c>
      <c r="M253" s="20"/>
      <c r="N253" s="20"/>
      <c r="O253" s="21"/>
      <c r="P253" s="21"/>
      <c r="Q253" s="20"/>
      <c r="R253" s="21"/>
    </row>
    <row r="254" spans="1:18" x14ac:dyDescent="0.3">
      <c r="A254" s="21">
        <f t="shared" si="5"/>
        <v>253</v>
      </c>
      <c r="B254" s="22" t="s">
        <v>1197</v>
      </c>
      <c r="C254" s="22" t="s">
        <v>1471</v>
      </c>
      <c r="D254" s="22" t="s">
        <v>32</v>
      </c>
      <c r="E254" s="22" t="s">
        <v>1357</v>
      </c>
      <c r="F254" s="22"/>
      <c r="G254" s="22" t="s">
        <v>1399</v>
      </c>
      <c r="H254" s="23"/>
      <c r="I254" s="23"/>
      <c r="J254" s="22">
        <v>1</v>
      </c>
      <c r="K254" s="22">
        <v>0.08</v>
      </c>
      <c r="L254" s="28">
        <f t="shared" si="4"/>
        <v>1.2</v>
      </c>
      <c r="M254" s="20"/>
      <c r="N254" s="20"/>
      <c r="O254" s="21"/>
      <c r="P254" s="21"/>
      <c r="Q254" s="20"/>
      <c r="R254" s="21"/>
    </row>
    <row r="255" spans="1:18" x14ac:dyDescent="0.3">
      <c r="A255" s="21">
        <f t="shared" si="5"/>
        <v>254</v>
      </c>
      <c r="B255" s="22" t="s">
        <v>1197</v>
      </c>
      <c r="C255" s="22" t="s">
        <v>1471</v>
      </c>
      <c r="D255" s="22" t="s">
        <v>32</v>
      </c>
      <c r="E255" s="22" t="s">
        <v>1357</v>
      </c>
      <c r="F255" s="22"/>
      <c r="G255" s="22" t="s">
        <v>1400</v>
      </c>
      <c r="H255" s="23"/>
      <c r="I255" s="23"/>
      <c r="J255" s="22">
        <v>1</v>
      </c>
      <c r="K255" s="22">
        <v>0.08</v>
      </c>
      <c r="L255" s="28">
        <f t="shared" si="4"/>
        <v>1.2</v>
      </c>
      <c r="M255" s="20"/>
      <c r="N255" s="20"/>
      <c r="O255" s="21"/>
      <c r="P255" s="21"/>
      <c r="Q255" s="20"/>
      <c r="R255" s="21"/>
    </row>
    <row r="256" spans="1:18" x14ac:dyDescent="0.3">
      <c r="A256" s="21">
        <f t="shared" si="5"/>
        <v>255</v>
      </c>
      <c r="B256" s="22" t="s">
        <v>1197</v>
      </c>
      <c r="C256" s="22" t="s">
        <v>1471</v>
      </c>
      <c r="D256" s="22" t="s">
        <v>32</v>
      </c>
      <c r="E256" s="22" t="s">
        <v>1357</v>
      </c>
      <c r="F256" s="22"/>
      <c r="G256" s="22" t="s">
        <v>1401</v>
      </c>
      <c r="H256" s="23"/>
      <c r="I256" s="23"/>
      <c r="J256" s="22">
        <v>1</v>
      </c>
      <c r="K256" s="22">
        <v>0.04</v>
      </c>
      <c r="L256" s="28">
        <f t="shared" si="4"/>
        <v>0.6</v>
      </c>
      <c r="M256" s="20"/>
      <c r="N256" s="20"/>
      <c r="O256" s="21"/>
      <c r="P256" s="21"/>
      <c r="Q256" s="20"/>
      <c r="R256" s="21"/>
    </row>
    <row r="257" spans="1:18" x14ac:dyDescent="0.3">
      <c r="A257" s="21">
        <f t="shared" si="5"/>
        <v>256</v>
      </c>
      <c r="B257" s="22" t="s">
        <v>1197</v>
      </c>
      <c r="C257" s="22" t="s">
        <v>1471</v>
      </c>
      <c r="D257" s="22" t="s">
        <v>32</v>
      </c>
      <c r="E257" s="22" t="s">
        <v>1357</v>
      </c>
      <c r="F257" s="22"/>
      <c r="G257" s="22" t="s">
        <v>1402</v>
      </c>
      <c r="H257" s="23"/>
      <c r="I257" s="23"/>
      <c r="J257" s="22">
        <v>1</v>
      </c>
      <c r="K257" s="22">
        <v>0.08</v>
      </c>
      <c r="L257" s="28">
        <f t="shared" si="4"/>
        <v>1.2</v>
      </c>
      <c r="M257" s="20"/>
      <c r="N257" s="20"/>
      <c r="O257" s="21"/>
      <c r="P257" s="21"/>
      <c r="Q257" s="20"/>
      <c r="R257" s="21"/>
    </row>
    <row r="258" spans="1:18" x14ac:dyDescent="0.3">
      <c r="A258" s="21">
        <f t="shared" si="5"/>
        <v>257</v>
      </c>
      <c r="B258" s="22" t="s">
        <v>1197</v>
      </c>
      <c r="C258" s="22" t="s">
        <v>1471</v>
      </c>
      <c r="D258" s="22" t="s">
        <v>32</v>
      </c>
      <c r="E258" s="22" t="s">
        <v>1357</v>
      </c>
      <c r="F258" s="22"/>
      <c r="G258" s="22" t="s">
        <v>1403</v>
      </c>
      <c r="H258" s="23"/>
      <c r="I258" s="23"/>
      <c r="J258" s="22">
        <v>1</v>
      </c>
      <c r="K258" s="22">
        <v>0.08</v>
      </c>
      <c r="L258" s="28">
        <f t="shared" si="4"/>
        <v>1.2</v>
      </c>
      <c r="M258" s="20"/>
      <c r="N258" s="20"/>
      <c r="O258" s="21"/>
      <c r="P258" s="21"/>
      <c r="Q258" s="20"/>
      <c r="R258" s="21"/>
    </row>
    <row r="259" spans="1:18" x14ac:dyDescent="0.3">
      <c r="A259" s="21">
        <f t="shared" si="5"/>
        <v>258</v>
      </c>
      <c r="B259" s="22" t="s">
        <v>1197</v>
      </c>
      <c r="C259" s="22" t="s">
        <v>1471</v>
      </c>
      <c r="D259" s="22" t="s">
        <v>32</v>
      </c>
      <c r="E259" s="22" t="s">
        <v>1357</v>
      </c>
      <c r="F259" s="22"/>
      <c r="G259" s="22" t="s">
        <v>1404</v>
      </c>
      <c r="H259" s="23"/>
      <c r="I259" s="23"/>
      <c r="J259" s="22">
        <v>1</v>
      </c>
      <c r="K259" s="22">
        <v>0.08</v>
      </c>
      <c r="L259" s="28">
        <f t="shared" si="4"/>
        <v>1.2</v>
      </c>
      <c r="M259" s="20"/>
      <c r="N259" s="20"/>
      <c r="O259" s="21"/>
      <c r="P259" s="21"/>
      <c r="Q259" s="20"/>
      <c r="R259" s="21"/>
    </row>
    <row r="260" spans="1:18" x14ac:dyDescent="0.3">
      <c r="A260" s="21">
        <f t="shared" si="5"/>
        <v>259</v>
      </c>
      <c r="B260" s="22" t="s">
        <v>1197</v>
      </c>
      <c r="C260" s="22" t="s">
        <v>1471</v>
      </c>
      <c r="D260" s="22" t="s">
        <v>32</v>
      </c>
      <c r="E260" s="22" t="s">
        <v>1359</v>
      </c>
      <c r="F260" s="22"/>
      <c r="G260" s="22" t="s">
        <v>1405</v>
      </c>
      <c r="H260" s="23"/>
      <c r="I260" s="23"/>
      <c r="J260" s="22">
        <v>1</v>
      </c>
      <c r="K260" s="22">
        <v>1</v>
      </c>
      <c r="L260" s="28">
        <f t="shared" si="4"/>
        <v>15</v>
      </c>
      <c r="M260" s="20"/>
      <c r="N260" s="20"/>
      <c r="O260" s="21"/>
      <c r="P260" s="21"/>
      <c r="Q260" s="20"/>
      <c r="R260" s="21"/>
    </row>
    <row r="261" spans="1:18" x14ac:dyDescent="0.3">
      <c r="A261" s="21">
        <f t="shared" si="5"/>
        <v>260</v>
      </c>
      <c r="B261" s="22" t="s">
        <v>1197</v>
      </c>
      <c r="C261" s="22" t="s">
        <v>1471</v>
      </c>
      <c r="D261" s="22" t="s">
        <v>32</v>
      </c>
      <c r="E261" s="22" t="s">
        <v>1360</v>
      </c>
      <c r="F261" s="22"/>
      <c r="G261" s="22" t="s">
        <v>1406</v>
      </c>
      <c r="H261" s="23"/>
      <c r="I261" s="23"/>
      <c r="J261" s="22">
        <v>1</v>
      </c>
      <c r="K261" s="22">
        <v>0.08</v>
      </c>
      <c r="L261" s="28">
        <f t="shared" si="4"/>
        <v>1.2</v>
      </c>
      <c r="M261" s="20"/>
      <c r="N261" s="20"/>
      <c r="O261" s="21"/>
      <c r="P261" s="21"/>
      <c r="Q261" s="20"/>
      <c r="R261" s="21"/>
    </row>
    <row r="262" spans="1:18" x14ac:dyDescent="0.3">
      <c r="A262" s="21">
        <f t="shared" si="5"/>
        <v>261</v>
      </c>
      <c r="B262" s="22" t="s">
        <v>1197</v>
      </c>
      <c r="C262" s="22" t="s">
        <v>1471</v>
      </c>
      <c r="D262" s="22" t="s">
        <v>32</v>
      </c>
      <c r="E262" s="22" t="s">
        <v>1361</v>
      </c>
      <c r="F262" s="22"/>
      <c r="G262" s="22" t="s">
        <v>1407</v>
      </c>
      <c r="H262" s="23"/>
      <c r="I262" s="23"/>
      <c r="J262" s="22">
        <v>1</v>
      </c>
      <c r="K262" s="22">
        <v>1</v>
      </c>
      <c r="L262" s="28">
        <f t="shared" si="4"/>
        <v>15</v>
      </c>
      <c r="M262" s="20"/>
      <c r="N262" s="20"/>
      <c r="O262" s="21"/>
      <c r="P262" s="21"/>
      <c r="Q262" s="20"/>
      <c r="R262" s="21"/>
    </row>
    <row r="263" spans="1:18" x14ac:dyDescent="0.3">
      <c r="A263" s="21">
        <f t="shared" si="5"/>
        <v>262</v>
      </c>
      <c r="B263" s="22" t="s">
        <v>1197</v>
      </c>
      <c r="C263" s="22" t="s">
        <v>1471</v>
      </c>
      <c r="D263" s="22" t="s">
        <v>32</v>
      </c>
      <c r="E263" s="22" t="s">
        <v>1361</v>
      </c>
      <c r="F263" s="22"/>
      <c r="G263" s="22" t="s">
        <v>1408</v>
      </c>
      <c r="H263" s="23"/>
      <c r="I263" s="23"/>
      <c r="J263" s="22">
        <v>1</v>
      </c>
      <c r="K263" s="22">
        <v>0.5</v>
      </c>
      <c r="L263" s="28">
        <f t="shared" si="4"/>
        <v>7.5</v>
      </c>
      <c r="M263" s="20"/>
      <c r="N263" s="20"/>
      <c r="O263" s="21"/>
      <c r="P263" s="21"/>
      <c r="Q263" s="20"/>
      <c r="R263" s="21"/>
    </row>
    <row r="264" spans="1:18" x14ac:dyDescent="0.3">
      <c r="A264" s="21">
        <f t="shared" si="5"/>
        <v>263</v>
      </c>
      <c r="B264" s="22" t="s">
        <v>1197</v>
      </c>
      <c r="C264" s="22" t="s">
        <v>1471</v>
      </c>
      <c r="D264" s="22" t="s">
        <v>32</v>
      </c>
      <c r="E264" s="22" t="s">
        <v>1361</v>
      </c>
      <c r="F264" s="22"/>
      <c r="G264" s="22" t="s">
        <v>1409</v>
      </c>
      <c r="H264" s="23"/>
      <c r="I264" s="23"/>
      <c r="J264" s="22">
        <v>1</v>
      </c>
      <c r="K264" s="22">
        <v>0.25</v>
      </c>
      <c r="L264" s="28">
        <f t="shared" si="4"/>
        <v>3.75</v>
      </c>
      <c r="M264" s="20"/>
      <c r="N264" s="20"/>
      <c r="O264" s="21"/>
      <c r="P264" s="21"/>
      <c r="Q264" s="20"/>
      <c r="R264" s="21"/>
    </row>
    <row r="265" spans="1:18" x14ac:dyDescent="0.3">
      <c r="A265" s="21">
        <f t="shared" si="5"/>
        <v>264</v>
      </c>
      <c r="B265" s="22" t="s">
        <v>1197</v>
      </c>
      <c r="C265" s="22" t="s">
        <v>1471</v>
      </c>
      <c r="D265" s="22" t="s">
        <v>32</v>
      </c>
      <c r="E265" s="22" t="s">
        <v>1361</v>
      </c>
      <c r="F265" s="22"/>
      <c r="G265" s="22" t="s">
        <v>1410</v>
      </c>
      <c r="H265" s="23"/>
      <c r="I265" s="23"/>
      <c r="J265" s="22">
        <v>1</v>
      </c>
      <c r="K265" s="22">
        <v>0.5</v>
      </c>
      <c r="L265" s="28">
        <f t="shared" si="4"/>
        <v>7.5</v>
      </c>
      <c r="M265" s="20"/>
      <c r="N265" s="20"/>
      <c r="O265" s="21"/>
      <c r="P265" s="21"/>
      <c r="Q265" s="20"/>
      <c r="R265" s="21"/>
    </row>
    <row r="266" spans="1:18" x14ac:dyDescent="0.3">
      <c r="A266" s="21">
        <f t="shared" si="5"/>
        <v>265</v>
      </c>
      <c r="B266" s="22" t="s">
        <v>1197</v>
      </c>
      <c r="C266" s="22" t="s">
        <v>1471</v>
      </c>
      <c r="D266" s="22" t="s">
        <v>32</v>
      </c>
      <c r="E266" s="22" t="s">
        <v>1362</v>
      </c>
      <c r="F266" s="22"/>
      <c r="G266" s="22" t="s">
        <v>1411</v>
      </c>
      <c r="H266" s="23"/>
      <c r="I266" s="23"/>
      <c r="J266" s="22">
        <v>1</v>
      </c>
      <c r="K266" s="22">
        <v>1</v>
      </c>
      <c r="L266" s="28">
        <f t="shared" si="4"/>
        <v>15</v>
      </c>
      <c r="M266" s="20"/>
      <c r="N266" s="20"/>
      <c r="O266" s="21"/>
      <c r="P266" s="21"/>
      <c r="Q266" s="20"/>
      <c r="R266" s="21"/>
    </row>
    <row r="267" spans="1:18" x14ac:dyDescent="0.3">
      <c r="A267" s="21">
        <f t="shared" si="5"/>
        <v>266</v>
      </c>
      <c r="B267" s="22" t="s">
        <v>1197</v>
      </c>
      <c r="C267" s="22" t="s">
        <v>1471</v>
      </c>
      <c r="D267" s="22" t="s">
        <v>32</v>
      </c>
      <c r="E267" s="22" t="s">
        <v>1362</v>
      </c>
      <c r="F267" s="22"/>
      <c r="G267" s="22" t="s">
        <v>1412</v>
      </c>
      <c r="H267" s="23"/>
      <c r="I267" s="23"/>
      <c r="J267" s="22">
        <v>1</v>
      </c>
      <c r="K267" s="22">
        <v>0.5</v>
      </c>
      <c r="L267" s="28">
        <f t="shared" si="4"/>
        <v>7.5</v>
      </c>
      <c r="M267" s="20"/>
      <c r="N267" s="20"/>
      <c r="O267" s="21"/>
      <c r="P267" s="21"/>
      <c r="Q267" s="20"/>
      <c r="R267" s="21"/>
    </row>
    <row r="268" spans="1:18" x14ac:dyDescent="0.3">
      <c r="A268" s="21">
        <f t="shared" si="5"/>
        <v>267</v>
      </c>
      <c r="B268" s="22" t="s">
        <v>1197</v>
      </c>
      <c r="C268" s="22" t="s">
        <v>1471</v>
      </c>
      <c r="D268" s="22" t="s">
        <v>32</v>
      </c>
      <c r="E268" s="22" t="s">
        <v>1362</v>
      </c>
      <c r="F268" s="22"/>
      <c r="G268" s="22" t="s">
        <v>1413</v>
      </c>
      <c r="H268" s="23"/>
      <c r="I268" s="23"/>
      <c r="J268" s="22">
        <v>1</v>
      </c>
      <c r="K268" s="22">
        <v>0.5</v>
      </c>
      <c r="L268" s="28">
        <f t="shared" si="4"/>
        <v>7.5</v>
      </c>
      <c r="M268" s="20"/>
      <c r="N268" s="20"/>
      <c r="O268" s="21"/>
      <c r="P268" s="21"/>
      <c r="Q268" s="20"/>
      <c r="R268" s="21"/>
    </row>
    <row r="269" spans="1:18" x14ac:dyDescent="0.3">
      <c r="A269" s="21">
        <f t="shared" si="5"/>
        <v>268</v>
      </c>
      <c r="B269" s="22" t="s">
        <v>1197</v>
      </c>
      <c r="C269" s="22" t="s">
        <v>1471</v>
      </c>
      <c r="D269" s="22" t="s">
        <v>32</v>
      </c>
      <c r="E269" s="22" t="s">
        <v>1362</v>
      </c>
      <c r="F269" s="22"/>
      <c r="G269" s="22" t="s">
        <v>1414</v>
      </c>
      <c r="H269" s="23"/>
      <c r="I269" s="23"/>
      <c r="J269" s="22">
        <v>1</v>
      </c>
      <c r="K269" s="22">
        <v>1</v>
      </c>
      <c r="L269" s="28">
        <f t="shared" si="4"/>
        <v>15</v>
      </c>
      <c r="M269" s="20"/>
      <c r="N269" s="20"/>
      <c r="O269" s="21"/>
      <c r="P269" s="21"/>
      <c r="Q269" s="20"/>
      <c r="R269" s="21"/>
    </row>
    <row r="270" spans="1:18" x14ac:dyDescent="0.3">
      <c r="A270" s="21">
        <f t="shared" si="5"/>
        <v>269</v>
      </c>
      <c r="B270" s="22" t="s">
        <v>1197</v>
      </c>
      <c r="C270" s="22" t="s">
        <v>1471</v>
      </c>
      <c r="D270" s="22" t="s">
        <v>32</v>
      </c>
      <c r="E270" s="22" t="s">
        <v>1363</v>
      </c>
      <c r="F270" s="22"/>
      <c r="G270" s="22" t="s">
        <v>1415</v>
      </c>
      <c r="H270" s="23"/>
      <c r="I270" s="23"/>
      <c r="J270" s="22">
        <v>1</v>
      </c>
      <c r="K270" s="22">
        <v>1</v>
      </c>
      <c r="L270" s="28">
        <f t="shared" si="4"/>
        <v>15</v>
      </c>
      <c r="M270" s="20"/>
      <c r="N270" s="20"/>
      <c r="O270" s="21"/>
      <c r="P270" s="21"/>
      <c r="Q270" s="20"/>
      <c r="R270" s="21"/>
    </row>
    <row r="271" spans="1:18" x14ac:dyDescent="0.3">
      <c r="A271" s="21">
        <f t="shared" si="5"/>
        <v>270</v>
      </c>
      <c r="B271" s="22" t="s">
        <v>1197</v>
      </c>
      <c r="C271" s="22" t="s">
        <v>1471</v>
      </c>
      <c r="D271" s="22" t="s">
        <v>32</v>
      </c>
      <c r="E271" s="22" t="s">
        <v>1364</v>
      </c>
      <c r="F271" s="22"/>
      <c r="G271" s="22" t="s">
        <v>1416</v>
      </c>
      <c r="H271" s="23"/>
      <c r="I271" s="23"/>
      <c r="J271" s="22">
        <v>1</v>
      </c>
      <c r="K271" s="22">
        <v>1</v>
      </c>
      <c r="L271" s="28">
        <f t="shared" si="4"/>
        <v>15</v>
      </c>
      <c r="M271" s="20"/>
      <c r="N271" s="20"/>
      <c r="O271" s="21"/>
      <c r="P271" s="21"/>
      <c r="Q271" s="20"/>
      <c r="R271" s="21"/>
    </row>
    <row r="272" spans="1:18" x14ac:dyDescent="0.3">
      <c r="A272" s="21">
        <f t="shared" si="5"/>
        <v>271</v>
      </c>
      <c r="B272" s="22" t="s">
        <v>1197</v>
      </c>
      <c r="C272" s="22" t="s">
        <v>1471</v>
      </c>
      <c r="D272" s="22" t="s">
        <v>32</v>
      </c>
      <c r="E272" s="22" t="s">
        <v>1365</v>
      </c>
      <c r="F272" s="22"/>
      <c r="G272" s="22" t="s">
        <v>1417</v>
      </c>
      <c r="H272" s="23"/>
      <c r="I272" s="23"/>
      <c r="J272" s="22">
        <v>1</v>
      </c>
      <c r="K272" s="22">
        <v>1</v>
      </c>
      <c r="L272" s="28">
        <f t="shared" si="4"/>
        <v>15</v>
      </c>
      <c r="M272" s="20"/>
      <c r="N272" s="20"/>
      <c r="O272" s="21"/>
      <c r="P272" s="21"/>
      <c r="Q272" s="20"/>
      <c r="R272" s="21"/>
    </row>
    <row r="273" spans="1:18" x14ac:dyDescent="0.3">
      <c r="A273" s="21">
        <f t="shared" si="5"/>
        <v>272</v>
      </c>
      <c r="B273" s="22" t="s">
        <v>1197</v>
      </c>
      <c r="C273" s="22" t="s">
        <v>1471</v>
      </c>
      <c r="D273" s="22" t="s">
        <v>32</v>
      </c>
      <c r="E273" s="22" t="s">
        <v>1358</v>
      </c>
      <c r="F273" s="22"/>
      <c r="G273" s="22" t="s">
        <v>1418</v>
      </c>
      <c r="H273" s="23"/>
      <c r="I273" s="23"/>
      <c r="J273" s="22">
        <v>1</v>
      </c>
      <c r="K273" s="22">
        <v>1</v>
      </c>
      <c r="L273" s="28">
        <f t="shared" si="4"/>
        <v>15</v>
      </c>
      <c r="M273" s="20"/>
      <c r="N273" s="20"/>
      <c r="O273" s="21"/>
      <c r="P273" s="21"/>
      <c r="Q273" s="20"/>
      <c r="R273" s="21"/>
    </row>
    <row r="274" spans="1:18" x14ac:dyDescent="0.3">
      <c r="A274" s="21">
        <f t="shared" si="5"/>
        <v>273</v>
      </c>
      <c r="B274" s="22" t="s">
        <v>1197</v>
      </c>
      <c r="C274" s="22" t="s">
        <v>1471</v>
      </c>
      <c r="D274" s="22" t="s">
        <v>32</v>
      </c>
      <c r="E274" s="22" t="s">
        <v>1352</v>
      </c>
      <c r="F274" s="22"/>
      <c r="G274" s="22" t="s">
        <v>1419</v>
      </c>
      <c r="H274" s="23"/>
      <c r="I274" s="23"/>
      <c r="J274" s="22">
        <v>1</v>
      </c>
      <c r="K274" s="22">
        <v>1</v>
      </c>
      <c r="L274" s="28">
        <f t="shared" si="4"/>
        <v>15</v>
      </c>
      <c r="M274" s="20"/>
      <c r="N274" s="20"/>
      <c r="O274" s="21"/>
      <c r="P274" s="21"/>
      <c r="Q274" s="20"/>
      <c r="R274" s="21"/>
    </row>
    <row r="275" spans="1:18" x14ac:dyDescent="0.3">
      <c r="A275" s="21">
        <f t="shared" si="5"/>
        <v>274</v>
      </c>
      <c r="B275" s="22" t="s">
        <v>1197</v>
      </c>
      <c r="C275" s="22" t="s">
        <v>1471</v>
      </c>
      <c r="D275" s="22" t="s">
        <v>32</v>
      </c>
      <c r="E275" s="22" t="s">
        <v>1352</v>
      </c>
      <c r="F275" s="22"/>
      <c r="G275" s="22" t="s">
        <v>1420</v>
      </c>
      <c r="H275" s="23"/>
      <c r="I275" s="23"/>
      <c r="J275" s="22">
        <v>1</v>
      </c>
      <c r="K275" s="22">
        <v>1</v>
      </c>
      <c r="L275" s="28">
        <f t="shared" si="4"/>
        <v>15</v>
      </c>
      <c r="M275" s="20"/>
      <c r="N275" s="20"/>
      <c r="O275" s="21"/>
      <c r="P275" s="21"/>
      <c r="Q275" s="20"/>
      <c r="R275" s="21"/>
    </row>
    <row r="276" spans="1:18" x14ac:dyDescent="0.3">
      <c r="A276" s="21">
        <f t="shared" si="5"/>
        <v>275</v>
      </c>
      <c r="B276" s="22" t="s">
        <v>1197</v>
      </c>
      <c r="C276" s="22" t="s">
        <v>1471</v>
      </c>
      <c r="D276" s="22" t="s">
        <v>32</v>
      </c>
      <c r="E276" s="22" t="s">
        <v>1352</v>
      </c>
      <c r="F276" s="22"/>
      <c r="G276" s="22" t="s">
        <v>1421</v>
      </c>
      <c r="H276" s="23"/>
      <c r="I276" s="23"/>
      <c r="J276" s="22">
        <v>1</v>
      </c>
      <c r="K276" s="22">
        <v>1</v>
      </c>
      <c r="L276" s="28">
        <f t="shared" si="4"/>
        <v>15</v>
      </c>
      <c r="M276" s="20"/>
      <c r="N276" s="20"/>
      <c r="O276" s="21"/>
      <c r="P276" s="21"/>
      <c r="Q276" s="20"/>
      <c r="R276" s="21"/>
    </row>
    <row r="277" spans="1:18" x14ac:dyDescent="0.3">
      <c r="A277" s="21">
        <f t="shared" si="5"/>
        <v>276</v>
      </c>
      <c r="B277" s="22" t="s">
        <v>1197</v>
      </c>
      <c r="C277" s="22" t="s">
        <v>1471</v>
      </c>
      <c r="D277" s="22" t="s">
        <v>32</v>
      </c>
      <c r="E277" s="22" t="s">
        <v>1366</v>
      </c>
      <c r="F277" s="22"/>
      <c r="G277" s="22" t="s">
        <v>1422</v>
      </c>
      <c r="H277" s="23"/>
      <c r="I277" s="23"/>
      <c r="J277" s="22">
        <v>1</v>
      </c>
      <c r="K277" s="22">
        <v>0.6</v>
      </c>
      <c r="L277" s="28">
        <f t="shared" si="4"/>
        <v>9</v>
      </c>
      <c r="M277" s="20"/>
      <c r="N277" s="20"/>
      <c r="O277" s="21"/>
      <c r="P277" s="21"/>
      <c r="Q277" s="20"/>
      <c r="R277" s="21"/>
    </row>
    <row r="278" spans="1:18" x14ac:dyDescent="0.3">
      <c r="A278" s="21">
        <f t="shared" si="5"/>
        <v>277</v>
      </c>
      <c r="B278" s="22" t="s">
        <v>1197</v>
      </c>
      <c r="C278" s="22" t="s">
        <v>1471</v>
      </c>
      <c r="D278" s="22" t="s">
        <v>32</v>
      </c>
      <c r="E278" s="22" t="s">
        <v>1366</v>
      </c>
      <c r="F278" s="22"/>
      <c r="G278" s="22" t="s">
        <v>1423</v>
      </c>
      <c r="H278" s="23"/>
      <c r="I278" s="23"/>
      <c r="J278" s="22">
        <v>1</v>
      </c>
      <c r="K278" s="22">
        <v>0.25</v>
      </c>
      <c r="L278" s="28">
        <f t="shared" si="4"/>
        <v>3.75</v>
      </c>
      <c r="M278" s="20"/>
      <c r="N278" s="20"/>
      <c r="O278" s="21"/>
      <c r="P278" s="21"/>
      <c r="Q278" s="20"/>
      <c r="R278" s="21"/>
    </row>
    <row r="279" spans="1:18" x14ac:dyDescent="0.3">
      <c r="A279" s="21">
        <f t="shared" si="5"/>
        <v>278</v>
      </c>
      <c r="B279" s="22" t="s">
        <v>1197</v>
      </c>
      <c r="C279" s="22" t="s">
        <v>1471</v>
      </c>
      <c r="D279" s="22" t="s">
        <v>32</v>
      </c>
      <c r="E279" s="22" t="s">
        <v>1366</v>
      </c>
      <c r="F279" s="22"/>
      <c r="G279" s="22" t="s">
        <v>1424</v>
      </c>
      <c r="H279" s="23"/>
      <c r="I279" s="23"/>
      <c r="J279" s="22">
        <v>1</v>
      </c>
      <c r="K279" s="22">
        <v>0.25</v>
      </c>
      <c r="L279" s="28">
        <f t="shared" si="4"/>
        <v>3.75</v>
      </c>
      <c r="M279" s="20"/>
      <c r="N279" s="20"/>
      <c r="O279" s="21"/>
      <c r="P279" s="21"/>
      <c r="Q279" s="20"/>
      <c r="R279" s="21"/>
    </row>
    <row r="280" spans="1:18" x14ac:dyDescent="0.3">
      <c r="A280" s="21">
        <f t="shared" si="5"/>
        <v>279</v>
      </c>
      <c r="B280" s="22" t="s">
        <v>1197</v>
      </c>
      <c r="C280" s="22" t="s">
        <v>1471</v>
      </c>
      <c r="D280" s="22" t="s">
        <v>32</v>
      </c>
      <c r="E280" s="22" t="s">
        <v>1367</v>
      </c>
      <c r="F280" s="22"/>
      <c r="G280" s="22" t="s">
        <v>1425</v>
      </c>
      <c r="H280" s="23"/>
      <c r="I280" s="23"/>
      <c r="J280" s="22">
        <v>1</v>
      </c>
      <c r="K280" s="22">
        <v>3</v>
      </c>
      <c r="L280" s="28">
        <f t="shared" si="4"/>
        <v>45</v>
      </c>
      <c r="M280" s="20"/>
      <c r="N280" s="20"/>
      <c r="O280" s="21"/>
      <c r="P280" s="21"/>
      <c r="Q280" s="20"/>
      <c r="R280" s="21"/>
    </row>
    <row r="281" spans="1:18" x14ac:dyDescent="0.3">
      <c r="A281" s="21">
        <f t="shared" si="5"/>
        <v>280</v>
      </c>
      <c r="B281" s="22" t="s">
        <v>1197</v>
      </c>
      <c r="C281" s="22" t="s">
        <v>1471</v>
      </c>
      <c r="D281" s="22" t="s">
        <v>32</v>
      </c>
      <c r="E281" s="22" t="s">
        <v>1368</v>
      </c>
      <c r="F281" s="22"/>
      <c r="G281" s="22" t="s">
        <v>1426</v>
      </c>
      <c r="H281" s="23"/>
      <c r="I281" s="23"/>
      <c r="J281" s="22">
        <v>1</v>
      </c>
      <c r="K281" s="22">
        <v>1</v>
      </c>
      <c r="L281" s="28">
        <f t="shared" si="4"/>
        <v>15</v>
      </c>
      <c r="M281" s="20"/>
      <c r="N281" s="20"/>
      <c r="O281" s="21"/>
      <c r="P281" s="21"/>
      <c r="Q281" s="20"/>
      <c r="R281" s="21"/>
    </row>
    <row r="282" spans="1:18" x14ac:dyDescent="0.3">
      <c r="A282" s="21">
        <f t="shared" si="5"/>
        <v>281</v>
      </c>
      <c r="B282" s="22" t="s">
        <v>1197</v>
      </c>
      <c r="C282" s="22" t="s">
        <v>1471</v>
      </c>
      <c r="D282" s="22" t="s">
        <v>32</v>
      </c>
      <c r="E282" s="22" t="s">
        <v>1353</v>
      </c>
      <c r="F282" s="22"/>
      <c r="G282" s="22" t="s">
        <v>1427</v>
      </c>
      <c r="H282" s="23"/>
      <c r="I282" s="23"/>
      <c r="J282" s="22">
        <v>1</v>
      </c>
      <c r="K282" s="22">
        <v>2</v>
      </c>
      <c r="L282" s="28">
        <f t="shared" si="4"/>
        <v>30</v>
      </c>
      <c r="M282" s="20"/>
      <c r="N282" s="20"/>
      <c r="O282" s="21"/>
      <c r="P282" s="21"/>
      <c r="Q282" s="20"/>
      <c r="R282" s="21"/>
    </row>
    <row r="283" spans="1:18" x14ac:dyDescent="0.3">
      <c r="A283" s="21">
        <f t="shared" si="5"/>
        <v>282</v>
      </c>
      <c r="B283" s="22" t="s">
        <v>1197</v>
      </c>
      <c r="C283" s="22" t="s">
        <v>1471</v>
      </c>
      <c r="D283" s="22" t="s">
        <v>32</v>
      </c>
      <c r="E283" s="22" t="s">
        <v>1368</v>
      </c>
      <c r="F283" s="22"/>
      <c r="G283" s="22" t="s">
        <v>1428</v>
      </c>
      <c r="H283" s="23"/>
      <c r="I283" s="23"/>
      <c r="J283" s="22">
        <v>1</v>
      </c>
      <c r="K283" s="22">
        <v>2</v>
      </c>
      <c r="L283" s="28">
        <f t="shared" si="4"/>
        <v>30</v>
      </c>
      <c r="M283" s="20"/>
      <c r="N283" s="20"/>
      <c r="O283" s="21"/>
      <c r="P283" s="21"/>
      <c r="Q283" s="20"/>
      <c r="R283" s="21"/>
    </row>
    <row r="284" spans="1:18" x14ac:dyDescent="0.3">
      <c r="A284" s="21">
        <f t="shared" si="5"/>
        <v>283</v>
      </c>
      <c r="B284" s="22" t="s">
        <v>1197</v>
      </c>
      <c r="C284" s="22" t="s">
        <v>1471</v>
      </c>
      <c r="D284" s="22" t="s">
        <v>32</v>
      </c>
      <c r="E284" s="22" t="s">
        <v>1368</v>
      </c>
      <c r="F284" s="22"/>
      <c r="G284" s="22" t="s">
        <v>1429</v>
      </c>
      <c r="H284" s="23"/>
      <c r="I284" s="23"/>
      <c r="J284" s="22">
        <v>1</v>
      </c>
      <c r="K284" s="22">
        <v>2</v>
      </c>
      <c r="L284" s="28">
        <f t="shared" si="4"/>
        <v>30</v>
      </c>
      <c r="M284" s="20"/>
      <c r="N284" s="20"/>
      <c r="O284" s="21"/>
      <c r="P284" s="21"/>
      <c r="Q284" s="20"/>
      <c r="R284" s="21"/>
    </row>
    <row r="285" spans="1:18" x14ac:dyDescent="0.3">
      <c r="A285" s="21">
        <f t="shared" si="5"/>
        <v>284</v>
      </c>
      <c r="B285" s="22" t="s">
        <v>1197</v>
      </c>
      <c r="C285" s="22" t="s">
        <v>1471</v>
      </c>
      <c r="D285" s="22" t="s">
        <v>32</v>
      </c>
      <c r="E285" s="22" t="s">
        <v>1368</v>
      </c>
      <c r="F285" s="22"/>
      <c r="G285" s="22" t="s">
        <v>1430</v>
      </c>
      <c r="H285" s="23"/>
      <c r="I285" s="23"/>
      <c r="J285" s="22">
        <v>1</v>
      </c>
      <c r="K285" s="22">
        <v>1</v>
      </c>
      <c r="L285" s="28">
        <f t="shared" si="4"/>
        <v>15</v>
      </c>
      <c r="M285" s="20"/>
      <c r="N285" s="20"/>
      <c r="O285" s="21"/>
      <c r="P285" s="21"/>
      <c r="Q285" s="20"/>
      <c r="R285" s="21"/>
    </row>
    <row r="286" spans="1:18" x14ac:dyDescent="0.3">
      <c r="A286" s="21">
        <f t="shared" si="5"/>
        <v>285</v>
      </c>
      <c r="B286" s="22" t="s">
        <v>1197</v>
      </c>
      <c r="C286" s="22" t="s">
        <v>1471</v>
      </c>
      <c r="D286" s="22" t="s">
        <v>32</v>
      </c>
      <c r="E286" s="22" t="s">
        <v>1366</v>
      </c>
      <c r="F286" s="22"/>
      <c r="G286" s="22" t="s">
        <v>1431</v>
      </c>
      <c r="H286" s="23"/>
      <c r="I286" s="23"/>
      <c r="J286" s="22">
        <v>1</v>
      </c>
      <c r="K286" s="22">
        <v>0.25</v>
      </c>
      <c r="L286" s="28">
        <f t="shared" si="4"/>
        <v>3.75</v>
      </c>
      <c r="M286" s="20"/>
      <c r="N286" s="20"/>
      <c r="O286" s="21"/>
      <c r="P286" s="21"/>
      <c r="Q286" s="20"/>
      <c r="R286" s="21"/>
    </row>
    <row r="287" spans="1:18" x14ac:dyDescent="0.3">
      <c r="A287" s="21">
        <f t="shared" si="5"/>
        <v>286</v>
      </c>
      <c r="B287" s="22" t="s">
        <v>1197</v>
      </c>
      <c r="C287" s="22" t="s">
        <v>1471</v>
      </c>
      <c r="D287" s="22" t="s">
        <v>32</v>
      </c>
      <c r="E287" s="22" t="s">
        <v>1366</v>
      </c>
      <c r="F287" s="22"/>
      <c r="G287" s="22" t="s">
        <v>1432</v>
      </c>
      <c r="H287" s="23"/>
      <c r="I287" s="23"/>
      <c r="J287" s="22">
        <v>1</v>
      </c>
      <c r="K287" s="22">
        <v>0.25</v>
      </c>
      <c r="L287" s="28">
        <f t="shared" si="4"/>
        <v>3.75</v>
      </c>
      <c r="M287" s="20"/>
      <c r="N287" s="20"/>
      <c r="O287" s="21"/>
      <c r="P287" s="21"/>
      <c r="Q287" s="20"/>
      <c r="R287" s="21"/>
    </row>
    <row r="288" spans="1:18" x14ac:dyDescent="0.3">
      <c r="A288" s="21">
        <f t="shared" si="5"/>
        <v>287</v>
      </c>
      <c r="B288" s="22" t="s">
        <v>1197</v>
      </c>
      <c r="C288" s="22" t="s">
        <v>1471</v>
      </c>
      <c r="D288" s="22" t="s">
        <v>32</v>
      </c>
      <c r="E288" s="22" t="s">
        <v>1366</v>
      </c>
      <c r="F288" s="22"/>
      <c r="G288" s="22" t="s">
        <v>1433</v>
      </c>
      <c r="H288" s="23"/>
      <c r="I288" s="23"/>
      <c r="J288" s="22">
        <v>1</v>
      </c>
      <c r="K288" s="22">
        <v>0.25</v>
      </c>
      <c r="L288" s="28">
        <f t="shared" si="4"/>
        <v>3.75</v>
      </c>
      <c r="M288" s="20"/>
      <c r="N288" s="20"/>
      <c r="O288" s="21"/>
      <c r="P288" s="21"/>
      <c r="Q288" s="20"/>
      <c r="R288" s="21"/>
    </row>
    <row r="289" spans="1:18" x14ac:dyDescent="0.3">
      <c r="A289" s="21">
        <f t="shared" si="5"/>
        <v>288</v>
      </c>
      <c r="B289" s="22" t="s">
        <v>1197</v>
      </c>
      <c r="C289" s="22" t="s">
        <v>1471</v>
      </c>
      <c r="D289" s="22" t="s">
        <v>32</v>
      </c>
      <c r="E289" s="22" t="s">
        <v>1366</v>
      </c>
      <c r="F289" s="22"/>
      <c r="G289" s="22" t="s">
        <v>1434</v>
      </c>
      <c r="H289" s="23"/>
      <c r="I289" s="23"/>
      <c r="J289" s="22">
        <v>1</v>
      </c>
      <c r="K289" s="22">
        <v>0.5</v>
      </c>
      <c r="L289" s="28">
        <f t="shared" si="4"/>
        <v>7.5</v>
      </c>
      <c r="M289" s="20"/>
      <c r="N289" s="20"/>
      <c r="O289" s="21"/>
      <c r="P289" s="21"/>
      <c r="Q289" s="20"/>
      <c r="R289" s="21"/>
    </row>
    <row r="290" spans="1:18" x14ac:dyDescent="0.3">
      <c r="A290" s="21">
        <f t="shared" si="5"/>
        <v>289</v>
      </c>
      <c r="B290" s="22" t="s">
        <v>1197</v>
      </c>
      <c r="C290" s="22" t="s">
        <v>1471</v>
      </c>
      <c r="D290" s="22" t="s">
        <v>32</v>
      </c>
      <c r="E290" s="22" t="s">
        <v>1366</v>
      </c>
      <c r="F290" s="22"/>
      <c r="G290" s="22" t="s">
        <v>1435</v>
      </c>
      <c r="H290" s="23"/>
      <c r="I290" s="23"/>
      <c r="J290" s="22">
        <v>1</v>
      </c>
      <c r="K290" s="22">
        <v>0.5</v>
      </c>
      <c r="L290" s="28">
        <f t="shared" si="4"/>
        <v>7.5</v>
      </c>
      <c r="M290" s="20"/>
      <c r="N290" s="20"/>
      <c r="O290" s="21"/>
      <c r="P290" s="21"/>
      <c r="Q290" s="20"/>
      <c r="R290" s="21"/>
    </row>
    <row r="291" spans="1:18" x14ac:dyDescent="0.3">
      <c r="A291" s="21">
        <f t="shared" si="5"/>
        <v>290</v>
      </c>
      <c r="B291" s="22" t="s">
        <v>1197</v>
      </c>
      <c r="C291" s="22" t="s">
        <v>1471</v>
      </c>
      <c r="D291" s="22" t="s">
        <v>32</v>
      </c>
      <c r="E291" s="22" t="s">
        <v>1366</v>
      </c>
      <c r="F291" s="22"/>
      <c r="G291" s="22" t="s">
        <v>1436</v>
      </c>
      <c r="H291" s="23"/>
      <c r="I291" s="23"/>
      <c r="J291" s="22">
        <v>1</v>
      </c>
      <c r="K291" s="22">
        <v>0.5</v>
      </c>
      <c r="L291" s="28">
        <f t="shared" si="4"/>
        <v>7.5</v>
      </c>
      <c r="M291" s="20"/>
      <c r="N291" s="20"/>
      <c r="O291" s="21"/>
      <c r="P291" s="21"/>
      <c r="Q291" s="20"/>
      <c r="R291" s="21"/>
    </row>
    <row r="292" spans="1:18" x14ac:dyDescent="0.3">
      <c r="A292" s="21">
        <f t="shared" si="5"/>
        <v>291</v>
      </c>
      <c r="B292" s="22" t="s">
        <v>1197</v>
      </c>
      <c r="C292" s="22" t="s">
        <v>1471</v>
      </c>
      <c r="D292" s="22" t="s">
        <v>32</v>
      </c>
      <c r="E292" s="22" t="s">
        <v>1369</v>
      </c>
      <c r="F292" s="22"/>
      <c r="G292" s="22" t="s">
        <v>1437</v>
      </c>
      <c r="H292" s="23"/>
      <c r="I292" s="23"/>
      <c r="J292" s="22">
        <v>1</v>
      </c>
      <c r="K292" s="22">
        <v>0.5</v>
      </c>
      <c r="L292" s="28">
        <f t="shared" si="4"/>
        <v>7.5</v>
      </c>
      <c r="M292" s="20"/>
      <c r="N292" s="20"/>
      <c r="O292" s="21"/>
      <c r="P292" s="21"/>
      <c r="Q292" s="20"/>
      <c r="R292" s="21"/>
    </row>
    <row r="293" spans="1:18" x14ac:dyDescent="0.3">
      <c r="A293" s="21">
        <f t="shared" si="5"/>
        <v>292</v>
      </c>
      <c r="B293" s="22" t="s">
        <v>1197</v>
      </c>
      <c r="C293" s="22" t="s">
        <v>1471</v>
      </c>
      <c r="D293" s="22" t="s">
        <v>32</v>
      </c>
      <c r="E293" s="22" t="s">
        <v>1370</v>
      </c>
      <c r="F293" s="22"/>
      <c r="G293" s="22" t="s">
        <v>1438</v>
      </c>
      <c r="H293" s="23"/>
      <c r="I293" s="23"/>
      <c r="J293" s="22">
        <v>1</v>
      </c>
      <c r="K293" s="22">
        <v>0.5</v>
      </c>
      <c r="L293" s="28">
        <f t="shared" si="4"/>
        <v>7.5</v>
      </c>
      <c r="M293" s="20"/>
      <c r="N293" s="20"/>
      <c r="O293" s="21"/>
      <c r="P293" s="21"/>
      <c r="Q293" s="20"/>
      <c r="R293" s="21"/>
    </row>
    <row r="294" spans="1:18" x14ac:dyDescent="0.3">
      <c r="A294" s="21">
        <f t="shared" si="5"/>
        <v>293</v>
      </c>
      <c r="B294" s="22" t="s">
        <v>1197</v>
      </c>
      <c r="C294" s="22" t="s">
        <v>1471</v>
      </c>
      <c r="D294" s="22" t="s">
        <v>32</v>
      </c>
      <c r="E294" s="22" t="s">
        <v>1370</v>
      </c>
      <c r="F294" s="22"/>
      <c r="G294" s="22" t="s">
        <v>1439</v>
      </c>
      <c r="H294" s="23"/>
      <c r="I294" s="23"/>
      <c r="J294" s="22">
        <v>1</v>
      </c>
      <c r="K294" s="22">
        <v>1</v>
      </c>
      <c r="L294" s="28">
        <f t="shared" si="4"/>
        <v>15</v>
      </c>
      <c r="M294" s="20"/>
      <c r="N294" s="20"/>
      <c r="O294" s="21"/>
      <c r="P294" s="21"/>
      <c r="Q294" s="20"/>
      <c r="R294" s="21"/>
    </row>
    <row r="295" spans="1:18" x14ac:dyDescent="0.3">
      <c r="A295" s="21">
        <f t="shared" si="5"/>
        <v>294</v>
      </c>
      <c r="B295" s="22" t="s">
        <v>1197</v>
      </c>
      <c r="C295" s="22" t="s">
        <v>1471</v>
      </c>
      <c r="D295" s="22" t="s">
        <v>32</v>
      </c>
      <c r="E295" s="22" t="s">
        <v>1369</v>
      </c>
      <c r="F295" s="22"/>
      <c r="G295" s="22" t="s">
        <v>1440</v>
      </c>
      <c r="H295" s="23"/>
      <c r="I295" s="23"/>
      <c r="J295" s="22">
        <v>1</v>
      </c>
      <c r="K295" s="22">
        <v>1</v>
      </c>
      <c r="L295" s="28">
        <f t="shared" si="4"/>
        <v>15</v>
      </c>
      <c r="M295" s="20"/>
      <c r="N295" s="20"/>
      <c r="O295" s="21"/>
      <c r="P295" s="21"/>
      <c r="Q295" s="20"/>
      <c r="R295" s="21"/>
    </row>
    <row r="296" spans="1:18" x14ac:dyDescent="0.3">
      <c r="A296" s="21">
        <f t="shared" si="5"/>
        <v>295</v>
      </c>
      <c r="B296" s="22" t="s">
        <v>1197</v>
      </c>
      <c r="C296" s="22" t="s">
        <v>1471</v>
      </c>
      <c r="D296" s="22" t="s">
        <v>30</v>
      </c>
      <c r="E296" s="22" t="s">
        <v>1371</v>
      </c>
      <c r="F296" s="22"/>
      <c r="G296" s="22" t="s">
        <v>1441</v>
      </c>
      <c r="H296" s="23"/>
      <c r="I296" s="23"/>
      <c r="J296" s="22">
        <v>1</v>
      </c>
      <c r="K296" s="22">
        <v>6</v>
      </c>
      <c r="L296" s="28">
        <f t="shared" si="4"/>
        <v>90</v>
      </c>
      <c r="M296" s="20"/>
      <c r="N296" s="20"/>
      <c r="O296" s="21"/>
      <c r="P296" s="21"/>
      <c r="Q296" s="20"/>
      <c r="R296" s="21"/>
    </row>
    <row r="297" spans="1:18" x14ac:dyDescent="0.3">
      <c r="A297" s="21">
        <f t="shared" si="5"/>
        <v>296</v>
      </c>
      <c r="B297" s="22" t="s">
        <v>1197</v>
      </c>
      <c r="C297" s="22" t="s">
        <v>1471</v>
      </c>
      <c r="D297" s="22" t="s">
        <v>30</v>
      </c>
      <c r="E297" s="22" t="s">
        <v>1371</v>
      </c>
      <c r="F297" s="22"/>
      <c r="G297" s="22" t="s">
        <v>1442</v>
      </c>
      <c r="H297" s="23"/>
      <c r="I297" s="23"/>
      <c r="J297" s="22">
        <v>1</v>
      </c>
      <c r="K297" s="22">
        <v>6</v>
      </c>
      <c r="L297" s="28">
        <f t="shared" si="4"/>
        <v>90</v>
      </c>
      <c r="M297" s="20"/>
      <c r="N297" s="20"/>
      <c r="O297" s="21"/>
      <c r="P297" s="21"/>
      <c r="Q297" s="20"/>
      <c r="R297" s="21"/>
    </row>
    <row r="298" spans="1:18" x14ac:dyDescent="0.3">
      <c r="A298" s="21">
        <f t="shared" si="5"/>
        <v>297</v>
      </c>
      <c r="B298" s="22" t="s">
        <v>1197</v>
      </c>
      <c r="C298" s="22" t="s">
        <v>1471</v>
      </c>
      <c r="D298" s="22" t="s">
        <v>30</v>
      </c>
      <c r="E298" s="22" t="s">
        <v>1371</v>
      </c>
      <c r="F298" s="22"/>
      <c r="G298" s="22" t="s">
        <v>1443</v>
      </c>
      <c r="H298" s="23"/>
      <c r="I298" s="23"/>
      <c r="J298" s="22">
        <v>1</v>
      </c>
      <c r="K298" s="22">
        <v>6</v>
      </c>
      <c r="L298" s="28">
        <f t="shared" si="4"/>
        <v>90</v>
      </c>
      <c r="M298" s="20"/>
      <c r="N298" s="20"/>
      <c r="O298" s="21"/>
      <c r="P298" s="21"/>
      <c r="Q298" s="20"/>
      <c r="R298" s="21"/>
    </row>
    <row r="299" spans="1:18" x14ac:dyDescent="0.3">
      <c r="A299" s="21">
        <f t="shared" si="5"/>
        <v>298</v>
      </c>
      <c r="B299" s="22" t="s">
        <v>1197</v>
      </c>
      <c r="C299" s="22" t="s">
        <v>1471</v>
      </c>
      <c r="D299" s="22" t="s">
        <v>30</v>
      </c>
      <c r="E299" s="22" t="s">
        <v>1371</v>
      </c>
      <c r="F299" s="22"/>
      <c r="G299" s="22" t="s">
        <v>1444</v>
      </c>
      <c r="H299" s="23"/>
      <c r="I299" s="23"/>
      <c r="J299" s="22">
        <v>1</v>
      </c>
      <c r="K299" s="22">
        <v>6</v>
      </c>
      <c r="L299" s="28">
        <f t="shared" si="4"/>
        <v>90</v>
      </c>
      <c r="M299" s="20"/>
      <c r="N299" s="20"/>
      <c r="O299" s="21"/>
      <c r="P299" s="21"/>
      <c r="Q299" s="20"/>
      <c r="R299" s="21"/>
    </row>
    <row r="300" spans="1:18" x14ac:dyDescent="0.3">
      <c r="A300" s="21">
        <f t="shared" si="5"/>
        <v>299</v>
      </c>
      <c r="B300" s="22" t="s">
        <v>1197</v>
      </c>
      <c r="C300" s="22" t="s">
        <v>1471</v>
      </c>
      <c r="D300" s="22" t="s">
        <v>30</v>
      </c>
      <c r="E300" s="22" t="s">
        <v>1371</v>
      </c>
      <c r="F300" s="22"/>
      <c r="G300" s="22" t="s">
        <v>1445</v>
      </c>
      <c r="H300" s="23"/>
      <c r="I300" s="23"/>
      <c r="J300" s="22">
        <v>1</v>
      </c>
      <c r="K300" s="22">
        <v>6</v>
      </c>
      <c r="L300" s="28">
        <f t="shared" si="4"/>
        <v>90</v>
      </c>
      <c r="M300" s="20"/>
      <c r="N300" s="20"/>
      <c r="O300" s="21"/>
      <c r="P300" s="21"/>
      <c r="Q300" s="20"/>
      <c r="R300" s="21"/>
    </row>
    <row r="301" spans="1:18" x14ac:dyDescent="0.3">
      <c r="A301" s="21">
        <f t="shared" si="5"/>
        <v>300</v>
      </c>
      <c r="B301" s="22" t="s">
        <v>1197</v>
      </c>
      <c r="C301" s="22" t="s">
        <v>1471</v>
      </c>
      <c r="D301" s="22" t="s">
        <v>30</v>
      </c>
      <c r="E301" s="22" t="s">
        <v>1371</v>
      </c>
      <c r="F301" s="22"/>
      <c r="G301" s="22" t="s">
        <v>1446</v>
      </c>
      <c r="H301" s="23"/>
      <c r="I301" s="23"/>
      <c r="J301" s="22">
        <v>1</v>
      </c>
      <c r="K301" s="22">
        <v>6</v>
      </c>
      <c r="L301" s="28">
        <f t="shared" ref="L301:L326" si="6">K301*15</f>
        <v>90</v>
      </c>
      <c r="M301" s="20"/>
      <c r="N301" s="20"/>
      <c r="O301" s="21"/>
      <c r="P301" s="21"/>
      <c r="Q301" s="20"/>
      <c r="R301" s="21"/>
    </row>
    <row r="302" spans="1:18" x14ac:dyDescent="0.3">
      <c r="A302" s="21">
        <f t="shared" si="5"/>
        <v>301</v>
      </c>
      <c r="B302" s="22" t="s">
        <v>1197</v>
      </c>
      <c r="C302" s="22" t="s">
        <v>1471</v>
      </c>
      <c r="D302" s="22" t="s">
        <v>30</v>
      </c>
      <c r="E302" s="22" t="s">
        <v>1371</v>
      </c>
      <c r="F302" s="22"/>
      <c r="G302" s="22" t="s">
        <v>1447</v>
      </c>
      <c r="H302" s="23"/>
      <c r="I302" s="23"/>
      <c r="J302" s="22">
        <v>1</v>
      </c>
      <c r="K302" s="22">
        <v>7</v>
      </c>
      <c r="L302" s="28">
        <f t="shared" si="6"/>
        <v>105</v>
      </c>
      <c r="M302" s="20"/>
      <c r="N302" s="20"/>
      <c r="O302" s="21"/>
      <c r="P302" s="21"/>
      <c r="Q302" s="20"/>
      <c r="R302" s="21"/>
    </row>
    <row r="303" spans="1:18" x14ac:dyDescent="0.3">
      <c r="A303" s="21">
        <f t="shared" si="5"/>
        <v>302</v>
      </c>
      <c r="B303" s="22" t="s">
        <v>1197</v>
      </c>
      <c r="C303" s="22" t="s">
        <v>1471</v>
      </c>
      <c r="D303" s="22" t="s">
        <v>30</v>
      </c>
      <c r="E303" s="22" t="s">
        <v>1371</v>
      </c>
      <c r="F303" s="22"/>
      <c r="G303" s="22" t="s">
        <v>1448</v>
      </c>
      <c r="H303" s="23"/>
      <c r="I303" s="23"/>
      <c r="J303" s="22">
        <v>1</v>
      </c>
      <c r="K303" s="22">
        <v>7</v>
      </c>
      <c r="L303" s="28">
        <f t="shared" si="6"/>
        <v>105</v>
      </c>
      <c r="M303" s="20"/>
      <c r="N303" s="20"/>
      <c r="O303" s="21"/>
      <c r="P303" s="21"/>
      <c r="Q303" s="20"/>
      <c r="R303" s="21"/>
    </row>
    <row r="304" spans="1:18" x14ac:dyDescent="0.3">
      <c r="A304" s="21">
        <f t="shared" si="5"/>
        <v>303</v>
      </c>
      <c r="B304" s="22" t="s">
        <v>1197</v>
      </c>
      <c r="C304" s="22" t="s">
        <v>1471</v>
      </c>
      <c r="D304" s="22" t="s">
        <v>30</v>
      </c>
      <c r="E304" s="22" t="s">
        <v>1372</v>
      </c>
      <c r="F304" s="22"/>
      <c r="G304" s="22" t="s">
        <v>1449</v>
      </c>
      <c r="H304" s="23"/>
      <c r="I304" s="23"/>
      <c r="J304" s="22">
        <v>1</v>
      </c>
      <c r="K304" s="22">
        <v>3</v>
      </c>
      <c r="L304" s="28">
        <f t="shared" si="6"/>
        <v>45</v>
      </c>
      <c r="M304" s="20"/>
      <c r="N304" s="20"/>
      <c r="O304" s="21"/>
      <c r="P304" s="21"/>
      <c r="Q304" s="20"/>
      <c r="R304" s="21"/>
    </row>
    <row r="305" spans="1:18" x14ac:dyDescent="0.3">
      <c r="A305" s="21">
        <f t="shared" si="5"/>
        <v>304</v>
      </c>
      <c r="B305" s="22" t="s">
        <v>1197</v>
      </c>
      <c r="C305" s="22" t="s">
        <v>1471</v>
      </c>
      <c r="D305" s="22" t="s">
        <v>30</v>
      </c>
      <c r="E305" s="22" t="s">
        <v>1372</v>
      </c>
      <c r="F305" s="22"/>
      <c r="G305" s="22" t="s">
        <v>1450</v>
      </c>
      <c r="H305" s="23"/>
      <c r="I305" s="23"/>
      <c r="J305" s="22">
        <v>1</v>
      </c>
      <c r="K305" s="22">
        <v>2</v>
      </c>
      <c r="L305" s="28">
        <f t="shared" si="6"/>
        <v>30</v>
      </c>
      <c r="M305" s="20"/>
      <c r="N305" s="20"/>
      <c r="O305" s="21"/>
      <c r="P305" s="21"/>
      <c r="Q305" s="20"/>
      <c r="R305" s="21"/>
    </row>
    <row r="306" spans="1:18" x14ac:dyDescent="0.3">
      <c r="A306" s="21">
        <f t="shared" si="5"/>
        <v>305</v>
      </c>
      <c r="B306" s="22" t="s">
        <v>1197</v>
      </c>
      <c r="C306" s="22" t="s">
        <v>1471</v>
      </c>
      <c r="D306" s="22" t="s">
        <v>30</v>
      </c>
      <c r="E306" s="22" t="s">
        <v>1373</v>
      </c>
      <c r="F306" s="22"/>
      <c r="G306" s="22" t="s">
        <v>1451</v>
      </c>
      <c r="H306" s="23"/>
      <c r="I306" s="23"/>
      <c r="J306" s="22">
        <v>1</v>
      </c>
      <c r="K306" s="22">
        <v>3</v>
      </c>
      <c r="L306" s="28">
        <f t="shared" si="6"/>
        <v>45</v>
      </c>
      <c r="M306" s="20"/>
      <c r="N306" s="20"/>
      <c r="O306" s="21"/>
      <c r="P306" s="21"/>
      <c r="Q306" s="20"/>
      <c r="R306" s="21"/>
    </row>
    <row r="307" spans="1:18" x14ac:dyDescent="0.3">
      <c r="A307" s="21">
        <f t="shared" si="5"/>
        <v>306</v>
      </c>
      <c r="B307" s="22" t="s">
        <v>1197</v>
      </c>
      <c r="C307" s="22" t="s">
        <v>1471</v>
      </c>
      <c r="D307" s="22" t="s">
        <v>25</v>
      </c>
      <c r="E307" s="22" t="s">
        <v>1374</v>
      </c>
      <c r="F307" s="22"/>
      <c r="G307" s="22" t="s">
        <v>1452</v>
      </c>
      <c r="H307" s="23"/>
      <c r="I307" s="23"/>
      <c r="J307" s="22">
        <v>1</v>
      </c>
      <c r="K307" s="22">
        <v>3</v>
      </c>
      <c r="L307" s="28">
        <f t="shared" si="6"/>
        <v>45</v>
      </c>
      <c r="M307" s="20"/>
      <c r="N307" s="20"/>
      <c r="O307" s="21"/>
      <c r="P307" s="21"/>
      <c r="Q307" s="20"/>
      <c r="R307" s="21"/>
    </row>
    <row r="308" spans="1:18" x14ac:dyDescent="0.3">
      <c r="A308" s="21">
        <f t="shared" si="5"/>
        <v>307</v>
      </c>
      <c r="B308" s="22" t="s">
        <v>1197</v>
      </c>
      <c r="C308" s="22" t="s">
        <v>1471</v>
      </c>
      <c r="D308" s="22" t="s">
        <v>25</v>
      </c>
      <c r="E308" s="22" t="s">
        <v>1374</v>
      </c>
      <c r="F308" s="22"/>
      <c r="G308" s="22" t="s">
        <v>1453</v>
      </c>
      <c r="H308" s="23"/>
      <c r="I308" s="23"/>
      <c r="J308" s="22">
        <v>1</v>
      </c>
      <c r="K308" s="22">
        <v>3</v>
      </c>
      <c r="L308" s="28">
        <f t="shared" si="6"/>
        <v>45</v>
      </c>
      <c r="M308" s="20"/>
      <c r="N308" s="20"/>
      <c r="O308" s="21"/>
      <c r="P308" s="21"/>
      <c r="Q308" s="20"/>
      <c r="R308" s="21"/>
    </row>
    <row r="309" spans="1:18" x14ac:dyDescent="0.3">
      <c r="A309" s="21">
        <f t="shared" si="5"/>
        <v>308</v>
      </c>
      <c r="B309" s="22" t="s">
        <v>1197</v>
      </c>
      <c r="C309" s="22" t="s">
        <v>1471</v>
      </c>
      <c r="D309" s="22" t="s">
        <v>25</v>
      </c>
      <c r="E309" s="22" t="s">
        <v>1374</v>
      </c>
      <c r="F309" s="22"/>
      <c r="G309" s="22" t="s">
        <v>1454</v>
      </c>
      <c r="H309" s="23"/>
      <c r="I309" s="23"/>
      <c r="J309" s="22">
        <v>1</v>
      </c>
      <c r="K309" s="22">
        <v>3</v>
      </c>
      <c r="L309" s="28">
        <f t="shared" si="6"/>
        <v>45</v>
      </c>
      <c r="M309" s="20"/>
      <c r="N309" s="20"/>
      <c r="O309" s="21"/>
      <c r="P309" s="21"/>
      <c r="Q309" s="20"/>
      <c r="R309" s="21"/>
    </row>
    <row r="310" spans="1:18" x14ac:dyDescent="0.3">
      <c r="A310" s="21">
        <f t="shared" si="5"/>
        <v>309</v>
      </c>
      <c r="B310" s="22" t="s">
        <v>1197</v>
      </c>
      <c r="C310" s="22" t="s">
        <v>1471</v>
      </c>
      <c r="D310" s="22" t="s">
        <v>25</v>
      </c>
      <c r="E310" s="22" t="s">
        <v>1374</v>
      </c>
      <c r="F310" s="22"/>
      <c r="G310" s="22" t="s">
        <v>1455</v>
      </c>
      <c r="H310" s="23"/>
      <c r="I310" s="23"/>
      <c r="J310" s="22">
        <v>1</v>
      </c>
      <c r="K310" s="22">
        <v>3</v>
      </c>
      <c r="L310" s="28">
        <f t="shared" si="6"/>
        <v>45</v>
      </c>
      <c r="M310" s="20"/>
      <c r="N310" s="20"/>
      <c r="O310" s="21"/>
      <c r="P310" s="21"/>
      <c r="Q310" s="20"/>
      <c r="R310" s="21"/>
    </row>
    <row r="311" spans="1:18" x14ac:dyDescent="0.3">
      <c r="A311" s="21">
        <f t="shared" si="5"/>
        <v>310</v>
      </c>
      <c r="B311" s="22" t="s">
        <v>1197</v>
      </c>
      <c r="C311" s="22" t="s">
        <v>1471</v>
      </c>
      <c r="D311" s="22" t="s">
        <v>25</v>
      </c>
      <c r="E311" s="22" t="s">
        <v>1374</v>
      </c>
      <c r="F311" s="22"/>
      <c r="G311" s="22" t="s">
        <v>1456</v>
      </c>
      <c r="H311" s="23"/>
      <c r="I311" s="23"/>
      <c r="J311" s="22">
        <v>1</v>
      </c>
      <c r="K311" s="22">
        <v>3</v>
      </c>
      <c r="L311" s="28">
        <f t="shared" si="6"/>
        <v>45</v>
      </c>
      <c r="M311" s="20"/>
      <c r="N311" s="20"/>
      <c r="O311" s="21"/>
      <c r="P311" s="21"/>
      <c r="Q311" s="20"/>
      <c r="R311" s="21"/>
    </row>
    <row r="312" spans="1:18" x14ac:dyDescent="0.3">
      <c r="A312" s="21">
        <f t="shared" si="5"/>
        <v>311</v>
      </c>
      <c r="B312" s="22" t="s">
        <v>1197</v>
      </c>
      <c r="C312" s="22" t="s">
        <v>1471</v>
      </c>
      <c r="D312" s="22" t="s">
        <v>24</v>
      </c>
      <c r="E312" s="22" t="s">
        <v>1375</v>
      </c>
      <c r="F312" s="22"/>
      <c r="G312" s="22" t="s">
        <v>1457</v>
      </c>
      <c r="H312" s="23"/>
      <c r="I312" s="23"/>
      <c r="J312" s="22">
        <v>1</v>
      </c>
      <c r="K312" s="22">
        <v>0.12</v>
      </c>
      <c r="L312" s="28">
        <f t="shared" si="6"/>
        <v>1.7999999999999998</v>
      </c>
      <c r="M312" s="20"/>
      <c r="N312" s="20"/>
      <c r="O312" s="21"/>
      <c r="P312" s="21"/>
      <c r="Q312" s="20"/>
      <c r="R312" s="21"/>
    </row>
    <row r="313" spans="1:18" x14ac:dyDescent="0.3">
      <c r="A313" s="21">
        <f t="shared" si="5"/>
        <v>312</v>
      </c>
      <c r="B313" s="22" t="s">
        <v>1197</v>
      </c>
      <c r="C313" s="22" t="s">
        <v>1471</v>
      </c>
      <c r="D313" s="22" t="s">
        <v>24</v>
      </c>
      <c r="E313" s="22" t="s">
        <v>1376</v>
      </c>
      <c r="F313" s="22"/>
      <c r="G313" s="22" t="s">
        <v>1458</v>
      </c>
      <c r="H313" s="23"/>
      <c r="I313" s="23"/>
      <c r="J313" s="22">
        <v>1</v>
      </c>
      <c r="K313" s="22">
        <v>1</v>
      </c>
      <c r="L313" s="28">
        <f t="shared" si="6"/>
        <v>15</v>
      </c>
      <c r="M313" s="20"/>
      <c r="N313" s="20"/>
      <c r="O313" s="21"/>
      <c r="P313" s="21"/>
      <c r="Q313" s="20"/>
      <c r="R313" s="21"/>
    </row>
    <row r="314" spans="1:18" x14ac:dyDescent="0.3">
      <c r="A314" s="21">
        <f t="shared" ref="A314:A378" si="7">IF(D314="","",ROW()-1)</f>
        <v>313</v>
      </c>
      <c r="B314" s="22" t="s">
        <v>1197</v>
      </c>
      <c r="C314" s="22" t="s">
        <v>1471</v>
      </c>
      <c r="D314" s="22" t="s">
        <v>24</v>
      </c>
      <c r="E314" s="22" t="s">
        <v>1376</v>
      </c>
      <c r="F314" s="22"/>
      <c r="G314" s="22" t="s">
        <v>1459</v>
      </c>
      <c r="H314" s="23"/>
      <c r="I314" s="23"/>
      <c r="J314" s="22">
        <v>1</v>
      </c>
      <c r="K314" s="22">
        <v>3</v>
      </c>
      <c r="L314" s="28">
        <f t="shared" si="6"/>
        <v>45</v>
      </c>
      <c r="M314" s="20"/>
      <c r="N314" s="20"/>
      <c r="O314" s="21"/>
      <c r="P314" s="21"/>
      <c r="Q314" s="20"/>
      <c r="R314" s="21"/>
    </row>
    <row r="315" spans="1:18" x14ac:dyDescent="0.3">
      <c r="A315" s="21">
        <f t="shared" si="7"/>
        <v>314</v>
      </c>
      <c r="B315" s="22" t="s">
        <v>1197</v>
      </c>
      <c r="C315" s="22" t="s">
        <v>1471</v>
      </c>
      <c r="D315" s="22" t="s">
        <v>24</v>
      </c>
      <c r="E315" s="22" t="s">
        <v>1376</v>
      </c>
      <c r="F315" s="22"/>
      <c r="G315" s="22" t="s">
        <v>1460</v>
      </c>
      <c r="H315" s="23"/>
      <c r="I315" s="23"/>
      <c r="J315" s="22">
        <v>1</v>
      </c>
      <c r="K315" s="22">
        <v>3</v>
      </c>
      <c r="L315" s="28">
        <f t="shared" si="6"/>
        <v>45</v>
      </c>
      <c r="M315" s="20"/>
      <c r="N315" s="20"/>
      <c r="O315" s="21"/>
      <c r="P315" s="21"/>
      <c r="Q315" s="20"/>
      <c r="R315" s="21"/>
    </row>
    <row r="316" spans="1:18" x14ac:dyDescent="0.3">
      <c r="A316" s="21">
        <f t="shared" si="7"/>
        <v>315</v>
      </c>
      <c r="B316" s="22" t="s">
        <v>1197</v>
      </c>
      <c r="C316" s="22" t="s">
        <v>1471</v>
      </c>
      <c r="D316" s="22" t="s">
        <v>24</v>
      </c>
      <c r="E316" s="22" t="s">
        <v>1376</v>
      </c>
      <c r="F316" s="22"/>
      <c r="G316" s="22" t="s">
        <v>1458</v>
      </c>
      <c r="H316" s="23"/>
      <c r="I316" s="23"/>
      <c r="J316" s="22">
        <v>1</v>
      </c>
      <c r="K316" s="22">
        <v>1</v>
      </c>
      <c r="L316" s="28">
        <f t="shared" si="6"/>
        <v>15</v>
      </c>
      <c r="M316" s="20"/>
      <c r="N316" s="20"/>
      <c r="O316" s="21"/>
      <c r="P316" s="21"/>
      <c r="Q316" s="20"/>
      <c r="R316" s="21"/>
    </row>
    <row r="317" spans="1:18" x14ac:dyDescent="0.3">
      <c r="A317" s="21">
        <f t="shared" si="7"/>
        <v>316</v>
      </c>
      <c r="B317" s="22" t="s">
        <v>1197</v>
      </c>
      <c r="C317" s="22" t="s">
        <v>1471</v>
      </c>
      <c r="D317" s="22" t="s">
        <v>24</v>
      </c>
      <c r="E317" s="22" t="s">
        <v>1376</v>
      </c>
      <c r="F317" s="22"/>
      <c r="G317" s="22" t="s">
        <v>1461</v>
      </c>
      <c r="H317" s="23"/>
      <c r="I317" s="23"/>
      <c r="J317" s="22">
        <v>1</v>
      </c>
      <c r="K317" s="22">
        <v>1</v>
      </c>
      <c r="L317" s="28">
        <f t="shared" si="6"/>
        <v>15</v>
      </c>
      <c r="M317" s="20"/>
      <c r="N317" s="20"/>
      <c r="O317" s="21"/>
      <c r="P317" s="21"/>
      <c r="Q317" s="20"/>
      <c r="R317" s="21"/>
    </row>
    <row r="318" spans="1:18" x14ac:dyDescent="0.3">
      <c r="A318" s="21">
        <f t="shared" si="7"/>
        <v>317</v>
      </c>
      <c r="B318" s="22" t="s">
        <v>1197</v>
      </c>
      <c r="C318" s="22" t="s">
        <v>1471</v>
      </c>
      <c r="D318" s="22" t="s">
        <v>28</v>
      </c>
      <c r="E318" s="22" t="s">
        <v>1377</v>
      </c>
      <c r="F318" s="22"/>
      <c r="G318" s="22" t="s">
        <v>1462</v>
      </c>
      <c r="H318" s="23"/>
      <c r="I318" s="23"/>
      <c r="J318" s="22">
        <v>1</v>
      </c>
      <c r="K318" s="22">
        <v>2</v>
      </c>
      <c r="L318" s="28">
        <f t="shared" si="6"/>
        <v>30</v>
      </c>
      <c r="M318" s="20"/>
      <c r="N318" s="20"/>
      <c r="O318" s="21"/>
      <c r="P318" s="21"/>
      <c r="Q318" s="20"/>
      <c r="R318" s="21"/>
    </row>
    <row r="319" spans="1:18" x14ac:dyDescent="0.3">
      <c r="A319" s="21">
        <f t="shared" si="7"/>
        <v>318</v>
      </c>
      <c r="B319" s="22" t="s">
        <v>1197</v>
      </c>
      <c r="C319" s="22" t="s">
        <v>1471</v>
      </c>
      <c r="D319" s="22" t="s">
        <v>28</v>
      </c>
      <c r="E319" s="22" t="s">
        <v>1377</v>
      </c>
      <c r="F319" s="22"/>
      <c r="G319" s="22" t="s">
        <v>1463</v>
      </c>
      <c r="H319" s="23"/>
      <c r="I319" s="23"/>
      <c r="J319" s="22">
        <v>1</v>
      </c>
      <c r="K319" s="22">
        <v>3</v>
      </c>
      <c r="L319" s="28">
        <f t="shared" si="6"/>
        <v>45</v>
      </c>
      <c r="M319" s="20"/>
      <c r="N319" s="20"/>
      <c r="O319" s="21"/>
      <c r="P319" s="21"/>
      <c r="Q319" s="20"/>
      <c r="R319" s="21"/>
    </row>
    <row r="320" spans="1:18" x14ac:dyDescent="0.3">
      <c r="A320" s="21">
        <f t="shared" si="7"/>
        <v>319</v>
      </c>
      <c r="B320" s="22" t="s">
        <v>1197</v>
      </c>
      <c r="C320" s="22" t="s">
        <v>1471</v>
      </c>
      <c r="D320" s="22" t="s">
        <v>28</v>
      </c>
      <c r="E320" s="22" t="s">
        <v>1377</v>
      </c>
      <c r="F320" s="22"/>
      <c r="G320" s="22" t="s">
        <v>1464</v>
      </c>
      <c r="H320" s="23"/>
      <c r="I320" s="23"/>
      <c r="J320" s="22">
        <v>1</v>
      </c>
      <c r="K320" s="22">
        <v>1</v>
      </c>
      <c r="L320" s="28">
        <f t="shared" si="6"/>
        <v>15</v>
      </c>
      <c r="M320" s="20"/>
      <c r="N320" s="20"/>
      <c r="O320" s="21"/>
      <c r="P320" s="21"/>
      <c r="Q320" s="20"/>
      <c r="R320" s="21"/>
    </row>
    <row r="321" spans="1:18" x14ac:dyDescent="0.3">
      <c r="A321" s="21">
        <f t="shared" si="7"/>
        <v>320</v>
      </c>
      <c r="B321" s="22" t="s">
        <v>1197</v>
      </c>
      <c r="C321" s="22" t="s">
        <v>1471</v>
      </c>
      <c r="D321" s="22" t="s">
        <v>28</v>
      </c>
      <c r="E321" s="22" t="s">
        <v>1377</v>
      </c>
      <c r="F321" s="22"/>
      <c r="G321" s="22" t="s">
        <v>1465</v>
      </c>
      <c r="H321" s="23"/>
      <c r="I321" s="23"/>
      <c r="J321" s="22">
        <v>1</v>
      </c>
      <c r="K321" s="22">
        <v>2</v>
      </c>
      <c r="L321" s="28">
        <f t="shared" si="6"/>
        <v>30</v>
      </c>
      <c r="M321" s="20"/>
      <c r="N321" s="20"/>
      <c r="O321" s="21"/>
      <c r="P321" s="21"/>
      <c r="Q321" s="20"/>
      <c r="R321" s="21"/>
    </row>
    <row r="322" spans="1:18" x14ac:dyDescent="0.3">
      <c r="A322" s="21">
        <f t="shared" si="7"/>
        <v>321</v>
      </c>
      <c r="B322" s="22" t="s">
        <v>1197</v>
      </c>
      <c r="C322" s="22" t="s">
        <v>1471</v>
      </c>
      <c r="D322" s="22" t="s">
        <v>28</v>
      </c>
      <c r="E322" s="22" t="s">
        <v>1377</v>
      </c>
      <c r="F322" s="22"/>
      <c r="G322" s="22" t="s">
        <v>1466</v>
      </c>
      <c r="H322" s="23"/>
      <c r="I322" s="23"/>
      <c r="J322" s="22">
        <v>1</v>
      </c>
      <c r="K322" s="22">
        <v>1</v>
      </c>
      <c r="L322" s="28">
        <f t="shared" si="6"/>
        <v>15</v>
      </c>
      <c r="M322" s="20"/>
      <c r="N322" s="20"/>
      <c r="O322" s="21"/>
      <c r="P322" s="21"/>
      <c r="Q322" s="20"/>
      <c r="R322" s="21"/>
    </row>
    <row r="323" spans="1:18" x14ac:dyDescent="0.3">
      <c r="A323" s="21">
        <f t="shared" si="7"/>
        <v>322</v>
      </c>
      <c r="B323" s="22" t="s">
        <v>1197</v>
      </c>
      <c r="C323" s="22" t="s">
        <v>1471</v>
      </c>
      <c r="D323" s="22" t="s">
        <v>28</v>
      </c>
      <c r="E323" s="22" t="s">
        <v>1377</v>
      </c>
      <c r="F323" s="22"/>
      <c r="G323" s="22" t="s">
        <v>1467</v>
      </c>
      <c r="H323" s="23"/>
      <c r="I323" s="23"/>
      <c r="J323" s="22">
        <v>1</v>
      </c>
      <c r="K323" s="22">
        <v>2</v>
      </c>
      <c r="L323" s="28">
        <f t="shared" si="6"/>
        <v>30</v>
      </c>
      <c r="M323" s="20"/>
      <c r="N323" s="20"/>
      <c r="O323" s="21"/>
      <c r="P323" s="21"/>
      <c r="Q323" s="20"/>
      <c r="R323" s="21"/>
    </row>
    <row r="324" spans="1:18" x14ac:dyDescent="0.3">
      <c r="A324" s="21">
        <f t="shared" si="7"/>
        <v>323</v>
      </c>
      <c r="B324" s="22" t="s">
        <v>1197</v>
      </c>
      <c r="C324" s="22" t="s">
        <v>1471</v>
      </c>
      <c r="D324" s="22" t="s">
        <v>23</v>
      </c>
      <c r="E324" s="22" t="s">
        <v>1378</v>
      </c>
      <c r="F324" s="22"/>
      <c r="G324" s="22" t="s">
        <v>1468</v>
      </c>
      <c r="H324" s="23"/>
      <c r="I324" s="23"/>
      <c r="J324" s="22">
        <v>1</v>
      </c>
      <c r="K324" s="22">
        <v>3</v>
      </c>
      <c r="L324" s="28">
        <f t="shared" si="6"/>
        <v>45</v>
      </c>
      <c r="M324" s="20"/>
      <c r="N324" s="20"/>
      <c r="O324" s="21"/>
      <c r="P324" s="21"/>
      <c r="Q324" s="20"/>
      <c r="R324" s="21"/>
    </row>
    <row r="325" spans="1:18" x14ac:dyDescent="0.3">
      <c r="A325" s="21">
        <f t="shared" si="7"/>
        <v>324</v>
      </c>
      <c r="B325" s="22" t="s">
        <v>1197</v>
      </c>
      <c r="C325" s="22" t="s">
        <v>1471</v>
      </c>
      <c r="D325" s="22" t="s">
        <v>20</v>
      </c>
      <c r="E325" s="22" t="s">
        <v>1379</v>
      </c>
      <c r="F325" s="22"/>
      <c r="G325" s="22" t="s">
        <v>1469</v>
      </c>
      <c r="H325" s="23"/>
      <c r="I325" s="23"/>
      <c r="J325" s="22">
        <v>1</v>
      </c>
      <c r="K325" s="22">
        <v>1</v>
      </c>
      <c r="L325" s="28">
        <f t="shared" si="6"/>
        <v>15</v>
      </c>
      <c r="M325" s="20"/>
      <c r="N325" s="20"/>
      <c r="O325" s="21"/>
      <c r="P325" s="21"/>
      <c r="Q325" s="20"/>
      <c r="R325" s="21"/>
    </row>
    <row r="326" spans="1:18" x14ac:dyDescent="0.3">
      <c r="A326" s="21">
        <f t="shared" si="7"/>
        <v>325</v>
      </c>
      <c r="B326" s="22" t="s">
        <v>1197</v>
      </c>
      <c r="C326" s="22" t="s">
        <v>1471</v>
      </c>
      <c r="D326" s="22" t="s">
        <v>27</v>
      </c>
      <c r="E326" s="22" t="s">
        <v>1380</v>
      </c>
      <c r="F326" s="22"/>
      <c r="G326" s="22" t="s">
        <v>1470</v>
      </c>
      <c r="H326" s="23"/>
      <c r="I326" s="23"/>
      <c r="J326" s="22">
        <v>1</v>
      </c>
      <c r="K326" s="22">
        <v>1</v>
      </c>
      <c r="L326" s="28">
        <f t="shared" si="6"/>
        <v>15</v>
      </c>
      <c r="M326" s="20"/>
      <c r="N326" s="20"/>
      <c r="O326" s="21"/>
      <c r="P326" s="21"/>
      <c r="Q326" s="20"/>
      <c r="R326" s="21"/>
    </row>
    <row r="327" spans="1:18" x14ac:dyDescent="0.3">
      <c r="A327" s="22" t="s">
        <v>1472</v>
      </c>
      <c r="B327" s="22"/>
      <c r="C327" s="22"/>
      <c r="D327" s="22"/>
      <c r="E327" s="22"/>
      <c r="F327" s="22"/>
      <c r="G327" s="22"/>
      <c r="H327" s="23"/>
      <c r="I327" s="23"/>
      <c r="J327" s="22">
        <f>SUBTOTAL(109,Tabel2[Jlh Anggota (Org)])</f>
        <v>5380</v>
      </c>
      <c r="K327" s="51">
        <f>SUBTOTAL(109,Tabel2[Luas Lahan (Ha)])</f>
        <v>2497.8266666666655</v>
      </c>
      <c r="L327" s="52">
        <f>SUBTOTAL(109,Tabel2[Volume Benih (Kg)])</f>
        <v>37468.39999999998</v>
      </c>
      <c r="M327" s="23"/>
      <c r="N327" s="23"/>
      <c r="O327" s="22"/>
      <c r="P327" s="22"/>
      <c r="Q327" s="23"/>
      <c r="R327" s="22"/>
    </row>
    <row r="328" spans="1:18" x14ac:dyDescent="0.3">
      <c r="A328" s="6" t="str">
        <f t="shared" si="7"/>
        <v/>
      </c>
    </row>
    <row r="329" spans="1:18" x14ac:dyDescent="0.3">
      <c r="A329" s="6" t="str">
        <f t="shared" si="7"/>
        <v/>
      </c>
    </row>
    <row r="330" spans="1:18" x14ac:dyDescent="0.3">
      <c r="A330" s="6" t="str">
        <f t="shared" si="7"/>
        <v/>
      </c>
    </row>
    <row r="331" spans="1:18" x14ac:dyDescent="0.3">
      <c r="A331" s="6" t="str">
        <f t="shared" si="7"/>
        <v/>
      </c>
    </row>
    <row r="332" spans="1:18" x14ac:dyDescent="0.3">
      <c r="A332" s="6" t="str">
        <f t="shared" si="7"/>
        <v/>
      </c>
    </row>
    <row r="333" spans="1:18" x14ac:dyDescent="0.3">
      <c r="A333" s="6" t="str">
        <f t="shared" si="7"/>
        <v/>
      </c>
    </row>
    <row r="334" spans="1:18" x14ac:dyDescent="0.3">
      <c r="A334" s="6" t="str">
        <f t="shared" si="7"/>
        <v/>
      </c>
    </row>
    <row r="335" spans="1:18" x14ac:dyDescent="0.3">
      <c r="A335" s="6" t="str">
        <f t="shared" si="7"/>
        <v/>
      </c>
    </row>
    <row r="336" spans="1:18" x14ac:dyDescent="0.3">
      <c r="A336" s="6" t="str">
        <f t="shared" si="7"/>
        <v/>
      </c>
    </row>
    <row r="337" spans="1:1" x14ac:dyDescent="0.3">
      <c r="A337" s="6" t="str">
        <f t="shared" si="7"/>
        <v/>
      </c>
    </row>
    <row r="338" spans="1:1" x14ac:dyDescent="0.3">
      <c r="A338" s="6" t="str">
        <f t="shared" si="7"/>
        <v/>
      </c>
    </row>
    <row r="339" spans="1:1" x14ac:dyDescent="0.3">
      <c r="A339" s="6" t="str">
        <f t="shared" si="7"/>
        <v/>
      </c>
    </row>
    <row r="340" spans="1:1" x14ac:dyDescent="0.3">
      <c r="A340" s="6" t="str">
        <f t="shared" si="7"/>
        <v/>
      </c>
    </row>
    <row r="341" spans="1:1" x14ac:dyDescent="0.3">
      <c r="A341" s="6" t="str">
        <f t="shared" si="7"/>
        <v/>
      </c>
    </row>
    <row r="342" spans="1:1" x14ac:dyDescent="0.3">
      <c r="A342" s="6" t="str">
        <f t="shared" si="7"/>
        <v/>
      </c>
    </row>
    <row r="343" spans="1:1" x14ac:dyDescent="0.3">
      <c r="A343" s="6" t="str">
        <f t="shared" si="7"/>
        <v/>
      </c>
    </row>
    <row r="344" spans="1:1" x14ac:dyDescent="0.3">
      <c r="A344" s="6" t="str">
        <f t="shared" si="7"/>
        <v/>
      </c>
    </row>
    <row r="345" spans="1:1" x14ac:dyDescent="0.3">
      <c r="A345" s="6" t="str">
        <f t="shared" si="7"/>
        <v/>
      </c>
    </row>
    <row r="346" spans="1:1" x14ac:dyDescent="0.3">
      <c r="A346" s="6" t="str">
        <f t="shared" si="7"/>
        <v/>
      </c>
    </row>
    <row r="347" spans="1:1" x14ac:dyDescent="0.3">
      <c r="A347" s="6" t="str">
        <f t="shared" si="7"/>
        <v/>
      </c>
    </row>
    <row r="348" spans="1:1" x14ac:dyDescent="0.3">
      <c r="A348" s="6" t="str">
        <f t="shared" si="7"/>
        <v/>
      </c>
    </row>
    <row r="349" spans="1:1" x14ac:dyDescent="0.3">
      <c r="A349" s="6" t="str">
        <f t="shared" si="7"/>
        <v/>
      </c>
    </row>
    <row r="350" spans="1:1" x14ac:dyDescent="0.3">
      <c r="A350" s="6" t="str">
        <f t="shared" si="7"/>
        <v/>
      </c>
    </row>
    <row r="351" spans="1:1" x14ac:dyDescent="0.3">
      <c r="A351" s="6" t="str">
        <f t="shared" si="7"/>
        <v/>
      </c>
    </row>
    <row r="352" spans="1:1" x14ac:dyDescent="0.3">
      <c r="A352" s="6" t="str">
        <f t="shared" si="7"/>
        <v/>
      </c>
    </row>
    <row r="353" spans="1:1" x14ac:dyDescent="0.3">
      <c r="A353" s="6" t="str">
        <f t="shared" si="7"/>
        <v/>
      </c>
    </row>
    <row r="354" spans="1:1" x14ac:dyDescent="0.3">
      <c r="A354" s="6" t="str">
        <f t="shared" si="7"/>
        <v/>
      </c>
    </row>
    <row r="355" spans="1:1" x14ac:dyDescent="0.3">
      <c r="A355" s="6" t="str">
        <f t="shared" si="7"/>
        <v/>
      </c>
    </row>
    <row r="356" spans="1:1" x14ac:dyDescent="0.3">
      <c r="A356" s="6" t="str">
        <f t="shared" si="7"/>
        <v/>
      </c>
    </row>
    <row r="357" spans="1:1" x14ac:dyDescent="0.3">
      <c r="A357" s="6" t="str">
        <f t="shared" si="7"/>
        <v/>
      </c>
    </row>
    <row r="358" spans="1:1" x14ac:dyDescent="0.3">
      <c r="A358" s="6" t="str">
        <f t="shared" si="7"/>
        <v/>
      </c>
    </row>
    <row r="359" spans="1:1" x14ac:dyDescent="0.3">
      <c r="A359" s="6" t="str">
        <f t="shared" si="7"/>
        <v/>
      </c>
    </row>
    <row r="360" spans="1:1" x14ac:dyDescent="0.3">
      <c r="A360" s="6" t="str">
        <f t="shared" si="7"/>
        <v/>
      </c>
    </row>
    <row r="361" spans="1:1" x14ac:dyDescent="0.3">
      <c r="A361" s="6" t="str">
        <f t="shared" si="7"/>
        <v/>
      </c>
    </row>
    <row r="362" spans="1:1" x14ac:dyDescent="0.3">
      <c r="A362" s="6" t="str">
        <f t="shared" si="7"/>
        <v/>
      </c>
    </row>
    <row r="363" spans="1:1" x14ac:dyDescent="0.3">
      <c r="A363" s="6" t="str">
        <f t="shared" si="7"/>
        <v/>
      </c>
    </row>
    <row r="364" spans="1:1" x14ac:dyDescent="0.3">
      <c r="A364" s="6" t="str">
        <f t="shared" si="7"/>
        <v/>
      </c>
    </row>
    <row r="365" spans="1:1" x14ac:dyDescent="0.3">
      <c r="A365" s="6" t="str">
        <f t="shared" si="7"/>
        <v/>
      </c>
    </row>
    <row r="366" spans="1:1" x14ac:dyDescent="0.3">
      <c r="A366" s="6" t="str">
        <f t="shared" si="7"/>
        <v/>
      </c>
    </row>
    <row r="367" spans="1:1" x14ac:dyDescent="0.3">
      <c r="A367" s="6" t="str">
        <f t="shared" si="7"/>
        <v/>
      </c>
    </row>
    <row r="368" spans="1:1" x14ac:dyDescent="0.3">
      <c r="A368" s="6" t="str">
        <f t="shared" si="7"/>
        <v/>
      </c>
    </row>
    <row r="369" spans="1:1" x14ac:dyDescent="0.3">
      <c r="A369" s="6" t="str">
        <f t="shared" si="7"/>
        <v/>
      </c>
    </row>
    <row r="370" spans="1:1" x14ac:dyDescent="0.3">
      <c r="A370" s="6" t="str">
        <f t="shared" si="7"/>
        <v/>
      </c>
    </row>
    <row r="371" spans="1:1" x14ac:dyDescent="0.3">
      <c r="A371" s="6" t="str">
        <f t="shared" si="7"/>
        <v/>
      </c>
    </row>
    <row r="372" spans="1:1" x14ac:dyDescent="0.3">
      <c r="A372" s="6" t="str">
        <f t="shared" si="7"/>
        <v/>
      </c>
    </row>
    <row r="373" spans="1:1" x14ac:dyDescent="0.3">
      <c r="A373" s="6" t="str">
        <f t="shared" si="7"/>
        <v/>
      </c>
    </row>
    <row r="374" spans="1:1" x14ac:dyDescent="0.3">
      <c r="A374" s="6" t="str">
        <f t="shared" si="7"/>
        <v/>
      </c>
    </row>
    <row r="375" spans="1:1" x14ac:dyDescent="0.3">
      <c r="A375" s="6" t="str">
        <f t="shared" si="7"/>
        <v/>
      </c>
    </row>
    <row r="376" spans="1:1" x14ac:dyDescent="0.3">
      <c r="A376" s="6" t="str">
        <f t="shared" si="7"/>
        <v/>
      </c>
    </row>
    <row r="377" spans="1:1" x14ac:dyDescent="0.3">
      <c r="A377" s="6" t="str">
        <f t="shared" si="7"/>
        <v/>
      </c>
    </row>
    <row r="378" spans="1:1" x14ac:dyDescent="0.3">
      <c r="A378" s="6" t="str">
        <f t="shared" si="7"/>
        <v/>
      </c>
    </row>
    <row r="379" spans="1:1" x14ac:dyDescent="0.3">
      <c r="A379" s="6" t="str">
        <f t="shared" ref="A379:A442" si="8">IF(D379="","",ROW()-1)</f>
        <v/>
      </c>
    </row>
    <row r="380" spans="1:1" x14ac:dyDescent="0.3">
      <c r="A380" s="6" t="str">
        <f t="shared" si="8"/>
        <v/>
      </c>
    </row>
    <row r="381" spans="1:1" x14ac:dyDescent="0.3">
      <c r="A381" s="6" t="str">
        <f t="shared" si="8"/>
        <v/>
      </c>
    </row>
    <row r="382" spans="1:1" x14ac:dyDescent="0.3">
      <c r="A382" s="6" t="str">
        <f t="shared" si="8"/>
        <v/>
      </c>
    </row>
    <row r="383" spans="1:1" x14ac:dyDescent="0.3">
      <c r="A383" s="6" t="str">
        <f t="shared" si="8"/>
        <v/>
      </c>
    </row>
    <row r="384" spans="1:1" x14ac:dyDescent="0.3">
      <c r="A384" s="6" t="str">
        <f t="shared" si="8"/>
        <v/>
      </c>
    </row>
    <row r="385" spans="1:1" x14ac:dyDescent="0.3">
      <c r="A385" s="6" t="str">
        <f t="shared" si="8"/>
        <v/>
      </c>
    </row>
    <row r="386" spans="1:1" x14ac:dyDescent="0.3">
      <c r="A386" s="6" t="str">
        <f t="shared" si="8"/>
        <v/>
      </c>
    </row>
    <row r="387" spans="1:1" x14ac:dyDescent="0.3">
      <c r="A387" s="6" t="str">
        <f t="shared" si="8"/>
        <v/>
      </c>
    </row>
    <row r="388" spans="1:1" x14ac:dyDescent="0.3">
      <c r="A388" s="6" t="str">
        <f t="shared" si="8"/>
        <v/>
      </c>
    </row>
    <row r="389" spans="1:1" x14ac:dyDescent="0.3">
      <c r="A389" s="6" t="str">
        <f t="shared" si="8"/>
        <v/>
      </c>
    </row>
    <row r="390" spans="1:1" x14ac:dyDescent="0.3">
      <c r="A390" s="6" t="str">
        <f t="shared" si="8"/>
        <v/>
      </c>
    </row>
    <row r="391" spans="1:1" x14ac:dyDescent="0.3">
      <c r="A391" s="6" t="str">
        <f t="shared" si="8"/>
        <v/>
      </c>
    </row>
    <row r="392" spans="1:1" x14ac:dyDescent="0.3">
      <c r="A392" s="6" t="str">
        <f t="shared" si="8"/>
        <v/>
      </c>
    </row>
    <row r="393" spans="1:1" x14ac:dyDescent="0.3">
      <c r="A393" s="6" t="str">
        <f t="shared" si="8"/>
        <v/>
      </c>
    </row>
    <row r="394" spans="1:1" x14ac:dyDescent="0.3">
      <c r="A394" s="6" t="str">
        <f t="shared" si="8"/>
        <v/>
      </c>
    </row>
    <row r="395" spans="1:1" x14ac:dyDescent="0.3">
      <c r="A395" s="6" t="str">
        <f t="shared" si="8"/>
        <v/>
      </c>
    </row>
    <row r="396" spans="1:1" x14ac:dyDescent="0.3">
      <c r="A396" s="6" t="str">
        <f t="shared" si="8"/>
        <v/>
      </c>
    </row>
    <row r="397" spans="1:1" x14ac:dyDescent="0.3">
      <c r="A397" s="6" t="str">
        <f t="shared" si="8"/>
        <v/>
      </c>
    </row>
    <row r="398" spans="1:1" x14ac:dyDescent="0.3">
      <c r="A398" s="6" t="str">
        <f t="shared" si="8"/>
        <v/>
      </c>
    </row>
    <row r="399" spans="1:1" x14ac:dyDescent="0.3">
      <c r="A399" s="6" t="str">
        <f t="shared" si="8"/>
        <v/>
      </c>
    </row>
    <row r="400" spans="1:1" x14ac:dyDescent="0.3">
      <c r="A400" s="6" t="str">
        <f t="shared" si="8"/>
        <v/>
      </c>
    </row>
    <row r="401" spans="1:1" x14ac:dyDescent="0.3">
      <c r="A401" s="6" t="str">
        <f t="shared" si="8"/>
        <v/>
      </c>
    </row>
    <row r="402" spans="1:1" x14ac:dyDescent="0.3">
      <c r="A402" s="6" t="str">
        <f t="shared" si="8"/>
        <v/>
      </c>
    </row>
    <row r="403" spans="1:1" x14ac:dyDescent="0.3">
      <c r="A403" s="6" t="str">
        <f t="shared" si="8"/>
        <v/>
      </c>
    </row>
    <row r="404" spans="1:1" x14ac:dyDescent="0.3">
      <c r="A404" s="6" t="str">
        <f t="shared" si="8"/>
        <v/>
      </c>
    </row>
    <row r="405" spans="1:1" x14ac:dyDescent="0.3">
      <c r="A405" s="6" t="str">
        <f t="shared" si="8"/>
        <v/>
      </c>
    </row>
    <row r="406" spans="1:1" x14ac:dyDescent="0.3">
      <c r="A406" s="6" t="str">
        <f t="shared" si="8"/>
        <v/>
      </c>
    </row>
    <row r="407" spans="1:1" x14ac:dyDescent="0.3">
      <c r="A407" s="6" t="str">
        <f t="shared" si="8"/>
        <v/>
      </c>
    </row>
    <row r="408" spans="1:1" x14ac:dyDescent="0.3">
      <c r="A408" s="6" t="str">
        <f t="shared" si="8"/>
        <v/>
      </c>
    </row>
    <row r="409" spans="1:1" x14ac:dyDescent="0.3">
      <c r="A409" s="6" t="str">
        <f t="shared" si="8"/>
        <v/>
      </c>
    </row>
    <row r="410" spans="1:1" x14ac:dyDescent="0.3">
      <c r="A410" s="6" t="str">
        <f t="shared" si="8"/>
        <v/>
      </c>
    </row>
    <row r="411" spans="1:1" x14ac:dyDescent="0.3">
      <c r="A411" s="6" t="str">
        <f t="shared" si="8"/>
        <v/>
      </c>
    </row>
    <row r="412" spans="1:1" x14ac:dyDescent="0.3">
      <c r="A412" s="6" t="str">
        <f t="shared" si="8"/>
        <v/>
      </c>
    </row>
    <row r="413" spans="1:1" x14ac:dyDescent="0.3">
      <c r="A413" s="6" t="str">
        <f t="shared" si="8"/>
        <v/>
      </c>
    </row>
    <row r="414" spans="1:1" x14ac:dyDescent="0.3">
      <c r="A414" s="6" t="str">
        <f t="shared" si="8"/>
        <v/>
      </c>
    </row>
    <row r="415" spans="1:1" x14ac:dyDescent="0.3">
      <c r="A415" s="6" t="str">
        <f t="shared" si="8"/>
        <v/>
      </c>
    </row>
    <row r="416" spans="1:1" x14ac:dyDescent="0.3">
      <c r="A416" s="6" t="str">
        <f t="shared" si="8"/>
        <v/>
      </c>
    </row>
    <row r="417" spans="1:1" x14ac:dyDescent="0.3">
      <c r="A417" s="6" t="str">
        <f t="shared" si="8"/>
        <v/>
      </c>
    </row>
    <row r="418" spans="1:1" x14ac:dyDescent="0.3">
      <c r="A418" s="6" t="str">
        <f t="shared" si="8"/>
        <v/>
      </c>
    </row>
    <row r="419" spans="1:1" x14ac:dyDescent="0.3">
      <c r="A419" s="6" t="str">
        <f t="shared" si="8"/>
        <v/>
      </c>
    </row>
    <row r="420" spans="1:1" x14ac:dyDescent="0.3">
      <c r="A420" s="6" t="str">
        <f t="shared" si="8"/>
        <v/>
      </c>
    </row>
    <row r="421" spans="1:1" x14ac:dyDescent="0.3">
      <c r="A421" s="6" t="str">
        <f t="shared" si="8"/>
        <v/>
      </c>
    </row>
    <row r="422" spans="1:1" x14ac:dyDescent="0.3">
      <c r="A422" s="6" t="str">
        <f t="shared" si="8"/>
        <v/>
      </c>
    </row>
    <row r="423" spans="1:1" x14ac:dyDescent="0.3">
      <c r="A423" s="6" t="str">
        <f t="shared" si="8"/>
        <v/>
      </c>
    </row>
    <row r="424" spans="1:1" x14ac:dyDescent="0.3">
      <c r="A424" s="6" t="str">
        <f t="shared" si="8"/>
        <v/>
      </c>
    </row>
    <row r="425" spans="1:1" x14ac:dyDescent="0.3">
      <c r="A425" s="6" t="str">
        <f t="shared" si="8"/>
        <v/>
      </c>
    </row>
    <row r="426" spans="1:1" x14ac:dyDescent="0.3">
      <c r="A426" s="6" t="str">
        <f t="shared" si="8"/>
        <v/>
      </c>
    </row>
    <row r="427" spans="1:1" x14ac:dyDescent="0.3">
      <c r="A427" s="6" t="str">
        <f t="shared" si="8"/>
        <v/>
      </c>
    </row>
    <row r="428" spans="1:1" x14ac:dyDescent="0.3">
      <c r="A428" s="6" t="str">
        <f t="shared" si="8"/>
        <v/>
      </c>
    </row>
    <row r="429" spans="1:1" x14ac:dyDescent="0.3">
      <c r="A429" s="6" t="str">
        <f t="shared" si="8"/>
        <v/>
      </c>
    </row>
    <row r="430" spans="1:1" x14ac:dyDescent="0.3">
      <c r="A430" s="6" t="str">
        <f t="shared" si="8"/>
        <v/>
      </c>
    </row>
    <row r="431" spans="1:1" x14ac:dyDescent="0.3">
      <c r="A431" s="6" t="str">
        <f t="shared" si="8"/>
        <v/>
      </c>
    </row>
    <row r="432" spans="1:1" x14ac:dyDescent="0.3">
      <c r="A432" s="6" t="str">
        <f t="shared" si="8"/>
        <v/>
      </c>
    </row>
    <row r="433" spans="1:1" x14ac:dyDescent="0.3">
      <c r="A433" s="6" t="str">
        <f t="shared" si="8"/>
        <v/>
      </c>
    </row>
    <row r="434" spans="1:1" x14ac:dyDescent="0.3">
      <c r="A434" s="6" t="str">
        <f t="shared" si="8"/>
        <v/>
      </c>
    </row>
    <row r="435" spans="1:1" x14ac:dyDescent="0.3">
      <c r="A435" s="6" t="str">
        <f t="shared" si="8"/>
        <v/>
      </c>
    </row>
    <row r="436" spans="1:1" x14ac:dyDescent="0.3">
      <c r="A436" s="6" t="str">
        <f t="shared" si="8"/>
        <v/>
      </c>
    </row>
    <row r="437" spans="1:1" x14ac:dyDescent="0.3">
      <c r="A437" s="6" t="str">
        <f t="shared" si="8"/>
        <v/>
      </c>
    </row>
    <row r="438" spans="1:1" x14ac:dyDescent="0.3">
      <c r="A438" s="6" t="str">
        <f t="shared" si="8"/>
        <v/>
      </c>
    </row>
    <row r="439" spans="1:1" x14ac:dyDescent="0.3">
      <c r="A439" s="6" t="str">
        <f t="shared" si="8"/>
        <v/>
      </c>
    </row>
    <row r="440" spans="1:1" x14ac:dyDescent="0.3">
      <c r="A440" s="6" t="str">
        <f t="shared" si="8"/>
        <v/>
      </c>
    </row>
    <row r="441" spans="1:1" x14ac:dyDescent="0.3">
      <c r="A441" s="6" t="str">
        <f t="shared" si="8"/>
        <v/>
      </c>
    </row>
    <row r="442" spans="1:1" x14ac:dyDescent="0.3">
      <c r="A442" s="6" t="str">
        <f t="shared" si="8"/>
        <v/>
      </c>
    </row>
    <row r="443" spans="1:1" x14ac:dyDescent="0.3">
      <c r="A443" s="6" t="str">
        <f t="shared" ref="A443:A506" si="9">IF(D443="","",ROW()-1)</f>
        <v/>
      </c>
    </row>
    <row r="444" spans="1:1" x14ac:dyDescent="0.3">
      <c r="A444" s="6" t="str">
        <f t="shared" si="9"/>
        <v/>
      </c>
    </row>
    <row r="445" spans="1:1" x14ac:dyDescent="0.3">
      <c r="A445" s="6" t="str">
        <f t="shared" si="9"/>
        <v/>
      </c>
    </row>
    <row r="446" spans="1:1" x14ac:dyDescent="0.3">
      <c r="A446" s="6" t="str">
        <f t="shared" si="9"/>
        <v/>
      </c>
    </row>
    <row r="447" spans="1:1" x14ac:dyDescent="0.3">
      <c r="A447" s="6" t="str">
        <f t="shared" si="9"/>
        <v/>
      </c>
    </row>
    <row r="448" spans="1:1" x14ac:dyDescent="0.3">
      <c r="A448" s="6" t="str">
        <f t="shared" si="9"/>
        <v/>
      </c>
    </row>
    <row r="449" spans="1:1" x14ac:dyDescent="0.3">
      <c r="A449" s="6" t="str">
        <f t="shared" si="9"/>
        <v/>
      </c>
    </row>
    <row r="450" spans="1:1" x14ac:dyDescent="0.3">
      <c r="A450" s="6" t="str">
        <f t="shared" si="9"/>
        <v/>
      </c>
    </row>
    <row r="451" spans="1:1" x14ac:dyDescent="0.3">
      <c r="A451" s="6" t="str">
        <f t="shared" si="9"/>
        <v/>
      </c>
    </row>
    <row r="452" spans="1:1" x14ac:dyDescent="0.3">
      <c r="A452" s="6" t="str">
        <f t="shared" si="9"/>
        <v/>
      </c>
    </row>
    <row r="453" spans="1:1" x14ac:dyDescent="0.3">
      <c r="A453" s="6" t="str">
        <f t="shared" si="9"/>
        <v/>
      </c>
    </row>
    <row r="454" spans="1:1" x14ac:dyDescent="0.3">
      <c r="A454" s="6" t="str">
        <f t="shared" si="9"/>
        <v/>
      </c>
    </row>
    <row r="455" spans="1:1" x14ac:dyDescent="0.3">
      <c r="A455" s="6" t="str">
        <f t="shared" si="9"/>
        <v/>
      </c>
    </row>
    <row r="456" spans="1:1" x14ac:dyDescent="0.3">
      <c r="A456" s="6" t="str">
        <f t="shared" si="9"/>
        <v/>
      </c>
    </row>
    <row r="457" spans="1:1" x14ac:dyDescent="0.3">
      <c r="A457" s="6" t="str">
        <f t="shared" si="9"/>
        <v/>
      </c>
    </row>
    <row r="458" spans="1:1" x14ac:dyDescent="0.3">
      <c r="A458" s="6" t="str">
        <f t="shared" si="9"/>
        <v/>
      </c>
    </row>
    <row r="459" spans="1:1" x14ac:dyDescent="0.3">
      <c r="A459" s="6" t="str">
        <f t="shared" si="9"/>
        <v/>
      </c>
    </row>
    <row r="460" spans="1:1" x14ac:dyDescent="0.3">
      <c r="A460" s="6" t="str">
        <f t="shared" si="9"/>
        <v/>
      </c>
    </row>
    <row r="461" spans="1:1" x14ac:dyDescent="0.3">
      <c r="A461" s="6" t="str">
        <f t="shared" si="9"/>
        <v/>
      </c>
    </row>
    <row r="462" spans="1:1" x14ac:dyDescent="0.3">
      <c r="A462" s="6" t="str">
        <f t="shared" si="9"/>
        <v/>
      </c>
    </row>
    <row r="463" spans="1:1" x14ac:dyDescent="0.3">
      <c r="A463" s="6" t="str">
        <f t="shared" si="9"/>
        <v/>
      </c>
    </row>
    <row r="464" spans="1:1" x14ac:dyDescent="0.3">
      <c r="A464" s="6" t="str">
        <f t="shared" si="9"/>
        <v/>
      </c>
    </row>
    <row r="465" spans="1:1" x14ac:dyDescent="0.3">
      <c r="A465" s="6" t="str">
        <f t="shared" si="9"/>
        <v/>
      </c>
    </row>
    <row r="466" spans="1:1" x14ac:dyDescent="0.3">
      <c r="A466" s="6" t="str">
        <f t="shared" si="9"/>
        <v/>
      </c>
    </row>
    <row r="467" spans="1:1" x14ac:dyDescent="0.3">
      <c r="A467" s="6" t="str">
        <f t="shared" si="9"/>
        <v/>
      </c>
    </row>
    <row r="468" spans="1:1" x14ac:dyDescent="0.3">
      <c r="A468" s="6" t="str">
        <f t="shared" si="9"/>
        <v/>
      </c>
    </row>
    <row r="469" spans="1:1" x14ac:dyDescent="0.3">
      <c r="A469" s="6" t="str">
        <f t="shared" si="9"/>
        <v/>
      </c>
    </row>
    <row r="470" spans="1:1" x14ac:dyDescent="0.3">
      <c r="A470" s="6" t="str">
        <f t="shared" si="9"/>
        <v/>
      </c>
    </row>
    <row r="471" spans="1:1" x14ac:dyDescent="0.3">
      <c r="A471" s="6" t="str">
        <f t="shared" si="9"/>
        <v/>
      </c>
    </row>
    <row r="472" spans="1:1" x14ac:dyDescent="0.3">
      <c r="A472" s="6" t="str">
        <f t="shared" si="9"/>
        <v/>
      </c>
    </row>
    <row r="473" spans="1:1" x14ac:dyDescent="0.3">
      <c r="A473" s="6" t="str">
        <f t="shared" si="9"/>
        <v/>
      </c>
    </row>
    <row r="474" spans="1:1" x14ac:dyDescent="0.3">
      <c r="A474" s="6" t="str">
        <f t="shared" si="9"/>
        <v/>
      </c>
    </row>
    <row r="475" spans="1:1" x14ac:dyDescent="0.3">
      <c r="A475" s="6" t="str">
        <f t="shared" si="9"/>
        <v/>
      </c>
    </row>
    <row r="476" spans="1:1" x14ac:dyDescent="0.3">
      <c r="A476" s="6" t="str">
        <f t="shared" si="9"/>
        <v/>
      </c>
    </row>
    <row r="477" spans="1:1" x14ac:dyDescent="0.3">
      <c r="A477" s="6" t="str">
        <f t="shared" si="9"/>
        <v/>
      </c>
    </row>
    <row r="478" spans="1:1" x14ac:dyDescent="0.3">
      <c r="A478" s="6" t="str">
        <f t="shared" si="9"/>
        <v/>
      </c>
    </row>
    <row r="479" spans="1:1" x14ac:dyDescent="0.3">
      <c r="A479" s="6" t="str">
        <f t="shared" si="9"/>
        <v/>
      </c>
    </row>
    <row r="480" spans="1:1" x14ac:dyDescent="0.3">
      <c r="A480" s="6" t="str">
        <f t="shared" si="9"/>
        <v/>
      </c>
    </row>
    <row r="481" spans="1:1" x14ac:dyDescent="0.3">
      <c r="A481" s="6" t="str">
        <f t="shared" si="9"/>
        <v/>
      </c>
    </row>
    <row r="482" spans="1:1" x14ac:dyDescent="0.3">
      <c r="A482" s="6" t="str">
        <f t="shared" si="9"/>
        <v/>
      </c>
    </row>
    <row r="483" spans="1:1" x14ac:dyDescent="0.3">
      <c r="A483" s="6" t="str">
        <f t="shared" si="9"/>
        <v/>
      </c>
    </row>
    <row r="484" spans="1:1" x14ac:dyDescent="0.3">
      <c r="A484" s="6" t="str">
        <f t="shared" si="9"/>
        <v/>
      </c>
    </row>
    <row r="485" spans="1:1" x14ac:dyDescent="0.3">
      <c r="A485" s="6" t="str">
        <f t="shared" si="9"/>
        <v/>
      </c>
    </row>
    <row r="486" spans="1:1" x14ac:dyDescent="0.3">
      <c r="A486" s="6" t="str">
        <f t="shared" si="9"/>
        <v/>
      </c>
    </row>
    <row r="487" spans="1:1" x14ac:dyDescent="0.3">
      <c r="A487" s="6" t="str">
        <f t="shared" si="9"/>
        <v/>
      </c>
    </row>
    <row r="488" spans="1:1" x14ac:dyDescent="0.3">
      <c r="A488" s="6" t="str">
        <f t="shared" si="9"/>
        <v/>
      </c>
    </row>
    <row r="489" spans="1:1" x14ac:dyDescent="0.3">
      <c r="A489" s="6" t="str">
        <f t="shared" si="9"/>
        <v/>
      </c>
    </row>
    <row r="490" spans="1:1" x14ac:dyDescent="0.3">
      <c r="A490" s="6" t="str">
        <f t="shared" si="9"/>
        <v/>
      </c>
    </row>
    <row r="491" spans="1:1" x14ac:dyDescent="0.3">
      <c r="A491" s="6" t="str">
        <f t="shared" si="9"/>
        <v/>
      </c>
    </row>
    <row r="492" spans="1:1" x14ac:dyDescent="0.3">
      <c r="A492" s="6" t="str">
        <f t="shared" si="9"/>
        <v/>
      </c>
    </row>
    <row r="493" spans="1:1" x14ac:dyDescent="0.3">
      <c r="A493" s="6" t="str">
        <f t="shared" si="9"/>
        <v/>
      </c>
    </row>
    <row r="494" spans="1:1" x14ac:dyDescent="0.3">
      <c r="A494" s="6" t="str">
        <f t="shared" si="9"/>
        <v/>
      </c>
    </row>
    <row r="495" spans="1:1" x14ac:dyDescent="0.3">
      <c r="A495" s="6" t="str">
        <f t="shared" si="9"/>
        <v/>
      </c>
    </row>
    <row r="496" spans="1:1" x14ac:dyDescent="0.3">
      <c r="A496" s="6" t="str">
        <f t="shared" si="9"/>
        <v/>
      </c>
    </row>
    <row r="497" spans="1:1" x14ac:dyDescent="0.3">
      <c r="A497" s="6" t="str">
        <f t="shared" si="9"/>
        <v/>
      </c>
    </row>
    <row r="498" spans="1:1" x14ac:dyDescent="0.3">
      <c r="A498" s="6" t="str">
        <f t="shared" si="9"/>
        <v/>
      </c>
    </row>
    <row r="499" spans="1:1" x14ac:dyDescent="0.3">
      <c r="A499" s="6" t="str">
        <f t="shared" si="9"/>
        <v/>
      </c>
    </row>
    <row r="500" spans="1:1" x14ac:dyDescent="0.3">
      <c r="A500" s="6" t="str">
        <f t="shared" si="9"/>
        <v/>
      </c>
    </row>
    <row r="501" spans="1:1" x14ac:dyDescent="0.3">
      <c r="A501" s="6" t="str">
        <f t="shared" si="9"/>
        <v/>
      </c>
    </row>
    <row r="502" spans="1:1" x14ac:dyDescent="0.3">
      <c r="A502" s="6" t="str">
        <f t="shared" si="9"/>
        <v/>
      </c>
    </row>
    <row r="503" spans="1:1" x14ac:dyDescent="0.3">
      <c r="A503" s="6" t="str">
        <f t="shared" si="9"/>
        <v/>
      </c>
    </row>
    <row r="504" spans="1:1" x14ac:dyDescent="0.3">
      <c r="A504" s="6" t="str">
        <f t="shared" si="9"/>
        <v/>
      </c>
    </row>
    <row r="505" spans="1:1" x14ac:dyDescent="0.3">
      <c r="A505" s="6" t="str">
        <f t="shared" si="9"/>
        <v/>
      </c>
    </row>
    <row r="506" spans="1:1" x14ac:dyDescent="0.3">
      <c r="A506" s="6" t="str">
        <f t="shared" si="9"/>
        <v/>
      </c>
    </row>
    <row r="507" spans="1:1" x14ac:dyDescent="0.3">
      <c r="A507" s="6" t="str">
        <f t="shared" ref="A507:A558" si="10">IF(D507="","",ROW()-1)</f>
        <v/>
      </c>
    </row>
    <row r="508" spans="1:1" x14ac:dyDescent="0.3">
      <c r="A508" s="6" t="str">
        <f t="shared" si="10"/>
        <v/>
      </c>
    </row>
    <row r="509" spans="1:1" x14ac:dyDescent="0.3">
      <c r="A509" s="6" t="str">
        <f t="shared" si="10"/>
        <v/>
      </c>
    </row>
    <row r="510" spans="1:1" x14ac:dyDescent="0.3">
      <c r="A510" s="6" t="str">
        <f t="shared" si="10"/>
        <v/>
      </c>
    </row>
    <row r="511" spans="1:1" x14ac:dyDescent="0.3">
      <c r="A511" s="6" t="str">
        <f t="shared" si="10"/>
        <v/>
      </c>
    </row>
    <row r="512" spans="1:1" x14ac:dyDescent="0.3">
      <c r="A512" s="6" t="str">
        <f t="shared" si="10"/>
        <v/>
      </c>
    </row>
    <row r="513" spans="1:1" x14ac:dyDescent="0.3">
      <c r="A513" s="6" t="str">
        <f t="shared" si="10"/>
        <v/>
      </c>
    </row>
    <row r="514" spans="1:1" x14ac:dyDescent="0.3">
      <c r="A514" s="6" t="str">
        <f t="shared" si="10"/>
        <v/>
      </c>
    </row>
    <row r="515" spans="1:1" x14ac:dyDescent="0.3">
      <c r="A515" s="6" t="str">
        <f t="shared" si="10"/>
        <v/>
      </c>
    </row>
    <row r="516" spans="1:1" x14ac:dyDescent="0.3">
      <c r="A516" s="6" t="str">
        <f t="shared" si="10"/>
        <v/>
      </c>
    </row>
    <row r="517" spans="1:1" x14ac:dyDescent="0.3">
      <c r="A517" s="6" t="str">
        <f t="shared" si="10"/>
        <v/>
      </c>
    </row>
    <row r="518" spans="1:1" x14ac:dyDescent="0.3">
      <c r="A518" s="6" t="str">
        <f t="shared" si="10"/>
        <v/>
      </c>
    </row>
    <row r="519" spans="1:1" x14ac:dyDescent="0.3">
      <c r="A519" s="6" t="str">
        <f t="shared" si="10"/>
        <v/>
      </c>
    </row>
    <row r="520" spans="1:1" x14ac:dyDescent="0.3">
      <c r="A520" s="6" t="str">
        <f t="shared" si="10"/>
        <v/>
      </c>
    </row>
    <row r="521" spans="1:1" x14ac:dyDescent="0.3">
      <c r="A521" s="6" t="str">
        <f t="shared" si="10"/>
        <v/>
      </c>
    </row>
    <row r="522" spans="1:1" x14ac:dyDescent="0.3">
      <c r="A522" s="6" t="str">
        <f t="shared" si="10"/>
        <v/>
      </c>
    </row>
    <row r="523" spans="1:1" x14ac:dyDescent="0.3">
      <c r="A523" s="6" t="str">
        <f t="shared" si="10"/>
        <v/>
      </c>
    </row>
    <row r="524" spans="1:1" x14ac:dyDescent="0.3">
      <c r="A524" s="6" t="str">
        <f t="shared" si="10"/>
        <v/>
      </c>
    </row>
    <row r="525" spans="1:1" x14ac:dyDescent="0.3">
      <c r="A525" s="6" t="str">
        <f t="shared" si="10"/>
        <v/>
      </c>
    </row>
    <row r="526" spans="1:1" x14ac:dyDescent="0.3">
      <c r="A526" s="6" t="str">
        <f t="shared" si="10"/>
        <v/>
      </c>
    </row>
    <row r="527" spans="1:1" x14ac:dyDescent="0.3">
      <c r="A527" s="6" t="str">
        <f t="shared" si="10"/>
        <v/>
      </c>
    </row>
    <row r="528" spans="1:1" x14ac:dyDescent="0.3">
      <c r="A528" s="6" t="str">
        <f t="shared" si="10"/>
        <v/>
      </c>
    </row>
    <row r="529" spans="1:1" x14ac:dyDescent="0.3">
      <c r="A529" s="6" t="str">
        <f t="shared" si="10"/>
        <v/>
      </c>
    </row>
    <row r="530" spans="1:1" x14ac:dyDescent="0.3">
      <c r="A530" s="6" t="str">
        <f t="shared" si="10"/>
        <v/>
      </c>
    </row>
    <row r="531" spans="1:1" x14ac:dyDescent="0.3">
      <c r="A531" s="6" t="str">
        <f t="shared" si="10"/>
        <v/>
      </c>
    </row>
    <row r="532" spans="1:1" x14ac:dyDescent="0.3">
      <c r="A532" s="6" t="str">
        <f t="shared" si="10"/>
        <v/>
      </c>
    </row>
    <row r="533" spans="1:1" x14ac:dyDescent="0.3">
      <c r="A533" s="6" t="str">
        <f t="shared" si="10"/>
        <v/>
      </c>
    </row>
    <row r="534" spans="1:1" x14ac:dyDescent="0.3">
      <c r="A534" s="6" t="str">
        <f t="shared" si="10"/>
        <v/>
      </c>
    </row>
    <row r="535" spans="1:1" x14ac:dyDescent="0.3">
      <c r="A535" s="6" t="str">
        <f t="shared" si="10"/>
        <v/>
      </c>
    </row>
    <row r="536" spans="1:1" x14ac:dyDescent="0.3">
      <c r="A536" s="6" t="str">
        <f t="shared" si="10"/>
        <v/>
      </c>
    </row>
    <row r="537" spans="1:1" x14ac:dyDescent="0.3">
      <c r="A537" s="6" t="str">
        <f t="shared" si="10"/>
        <v/>
      </c>
    </row>
    <row r="538" spans="1:1" x14ac:dyDescent="0.3">
      <c r="A538" s="6" t="str">
        <f t="shared" si="10"/>
        <v/>
      </c>
    </row>
    <row r="539" spans="1:1" x14ac:dyDescent="0.3">
      <c r="A539" s="6" t="str">
        <f t="shared" si="10"/>
        <v/>
      </c>
    </row>
    <row r="540" spans="1:1" x14ac:dyDescent="0.3">
      <c r="A540" s="6" t="str">
        <f t="shared" si="10"/>
        <v/>
      </c>
    </row>
    <row r="541" spans="1:1" x14ac:dyDescent="0.3">
      <c r="A541" s="6" t="str">
        <f t="shared" si="10"/>
        <v/>
      </c>
    </row>
    <row r="542" spans="1:1" x14ac:dyDescent="0.3">
      <c r="A542" s="6" t="str">
        <f t="shared" si="10"/>
        <v/>
      </c>
    </row>
    <row r="543" spans="1:1" x14ac:dyDescent="0.3">
      <c r="A543" s="6" t="str">
        <f t="shared" si="10"/>
        <v/>
      </c>
    </row>
    <row r="544" spans="1:1" x14ac:dyDescent="0.3">
      <c r="A544" s="6" t="str">
        <f t="shared" si="10"/>
        <v/>
      </c>
    </row>
    <row r="545" spans="1:1" x14ac:dyDescent="0.3">
      <c r="A545" s="6" t="str">
        <f t="shared" si="10"/>
        <v/>
      </c>
    </row>
    <row r="546" spans="1:1" x14ac:dyDescent="0.3">
      <c r="A546" s="6" t="str">
        <f t="shared" si="10"/>
        <v/>
      </c>
    </row>
    <row r="547" spans="1:1" x14ac:dyDescent="0.3">
      <c r="A547" s="6" t="str">
        <f t="shared" si="10"/>
        <v/>
      </c>
    </row>
    <row r="548" spans="1:1" x14ac:dyDescent="0.3">
      <c r="A548" s="6" t="str">
        <f t="shared" si="10"/>
        <v/>
      </c>
    </row>
    <row r="549" spans="1:1" x14ac:dyDescent="0.3">
      <c r="A549" s="6" t="str">
        <f t="shared" si="10"/>
        <v/>
      </c>
    </row>
    <row r="550" spans="1:1" x14ac:dyDescent="0.3">
      <c r="A550" s="6" t="str">
        <f t="shared" si="10"/>
        <v/>
      </c>
    </row>
    <row r="551" spans="1:1" x14ac:dyDescent="0.3">
      <c r="A551" s="6" t="str">
        <f t="shared" si="10"/>
        <v/>
      </c>
    </row>
    <row r="552" spans="1:1" x14ac:dyDescent="0.3">
      <c r="A552" s="6" t="str">
        <f t="shared" si="10"/>
        <v/>
      </c>
    </row>
    <row r="553" spans="1:1" x14ac:dyDescent="0.3">
      <c r="A553" s="6" t="str">
        <f t="shared" si="10"/>
        <v/>
      </c>
    </row>
    <row r="554" spans="1:1" x14ac:dyDescent="0.3">
      <c r="A554" s="6" t="str">
        <f t="shared" si="10"/>
        <v/>
      </c>
    </row>
    <row r="555" spans="1:1" x14ac:dyDescent="0.3">
      <c r="A555" s="6" t="str">
        <f t="shared" si="10"/>
        <v/>
      </c>
    </row>
    <row r="556" spans="1:1" x14ac:dyDescent="0.3">
      <c r="A556" s="6" t="str">
        <f t="shared" si="10"/>
        <v/>
      </c>
    </row>
    <row r="557" spans="1:1" x14ac:dyDescent="0.3">
      <c r="A557" s="6" t="str">
        <f t="shared" si="10"/>
        <v/>
      </c>
    </row>
    <row r="558" spans="1:1" x14ac:dyDescent="0.3">
      <c r="A558" s="6" t="str">
        <f t="shared" si="10"/>
        <v/>
      </c>
    </row>
  </sheetData>
  <phoneticPr fontId="12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23" customWidth="1"/>
    <col min="3" max="3" width="25" customWidth="1"/>
    <col min="4" max="4" width="19" customWidth="1"/>
    <col min="5" max="5" width="16.54296875" customWidth="1"/>
    <col min="6" max="6" width="11.453125" style="25" customWidth="1"/>
    <col min="7" max="7" width="11.26953125" customWidth="1"/>
  </cols>
  <sheetData>
    <row r="1" spans="1:7" ht="38" customHeight="1" x14ac:dyDescent="0.35">
      <c r="A1" s="1" t="s">
        <v>0</v>
      </c>
      <c r="B1" s="1" t="s">
        <v>1</v>
      </c>
      <c r="C1" s="1" t="s">
        <v>2</v>
      </c>
      <c r="D1" s="1" t="s">
        <v>14</v>
      </c>
      <c r="E1" s="1" t="s">
        <v>15</v>
      </c>
      <c r="F1" s="24" t="s">
        <v>16</v>
      </c>
      <c r="G1" s="1" t="s">
        <v>17</v>
      </c>
    </row>
    <row r="2" spans="1:7" x14ac:dyDescent="0.35">
      <c r="A2">
        <v>1</v>
      </c>
      <c r="B2" t="s">
        <v>18</v>
      </c>
      <c r="C2" t="s">
        <v>19</v>
      </c>
      <c r="D2">
        <f>COUNTIFS('Data Penerima'!$B$2:$B$558,B2,'Data Penerima'!$D$2:$D$558,C2,'Data Penerima'!$F$2:$F$558,"?*")</f>
        <v>0</v>
      </c>
      <c r="E2">
        <f>SUMIFS('Data Penerima'!$J$2:$J$558,'Data Penerima'!$B$2:$B$558,B2,'Data Penerima'!$D$2:$D$558,C2)</f>
        <v>0</v>
      </c>
      <c r="F2" s="25">
        <f>SUMIFS('Data Penerima'!$K$2:$K$558,'Data Penerima'!$B$2:$B$558,B2,'Data Penerima'!$D$2:$D$558,C2)</f>
        <v>0</v>
      </c>
      <c r="G2">
        <f>SUMIFS('Data Penerima'!$L$2:$L$558,'Data Penerima'!$B$2:$B$558,B2,'Data Penerima'!$D$2:$D$558,C2)</f>
        <v>0</v>
      </c>
    </row>
    <row r="3" spans="1:7" x14ac:dyDescent="0.35">
      <c r="A3">
        <v>2</v>
      </c>
      <c r="B3" t="s">
        <v>18</v>
      </c>
      <c r="C3" t="s">
        <v>20</v>
      </c>
      <c r="D3">
        <f>COUNTIFS('Data Penerima'!$B$2:$B$558,B3,'Data Penerima'!$D$2:$D$558,C3,'Data Penerima'!$F$2:$F$558,"?*")</f>
        <v>1</v>
      </c>
      <c r="E3">
        <f>SUMIFS('Data Penerima'!$J$2:$J$558,'Data Penerima'!$B$2:$B$558,B3,'Data Penerima'!$D$2:$D$558,C3)</f>
        <v>30</v>
      </c>
      <c r="F3" s="25">
        <f>SUMIFS('Data Penerima'!$K$2:$K$558,'Data Penerima'!$B$2:$B$558,B3,'Data Penerima'!$D$2:$D$558,C3)</f>
        <v>4</v>
      </c>
      <c r="G3">
        <f>SUMIFS('Data Penerima'!$L$2:$L$558,'Data Penerima'!$B$2:$B$558,B3,'Data Penerima'!$D$2:$D$558,C3)</f>
        <v>60</v>
      </c>
    </row>
    <row r="4" spans="1:7" x14ac:dyDescent="0.35">
      <c r="A4">
        <v>3</v>
      </c>
      <c r="B4" t="s">
        <v>18</v>
      </c>
      <c r="C4" t="s">
        <v>21</v>
      </c>
      <c r="D4">
        <f>COUNTIFS('Data Penerima'!$B$2:$B$558,B4,'Data Penerima'!$D$2:$D$558,C4,'Data Penerima'!$F$2:$F$558,"?*")</f>
        <v>0</v>
      </c>
      <c r="E4">
        <f>SUMIFS('Data Penerima'!$J$2:$J$558,'Data Penerima'!$B$2:$B$558,B4,'Data Penerima'!$D$2:$D$558,C4)</f>
        <v>0</v>
      </c>
      <c r="F4" s="25">
        <f>SUMIFS('Data Penerima'!$K$2:$K$558,'Data Penerima'!$B$2:$B$558,B4,'Data Penerima'!$D$2:$D$558,C4)</f>
        <v>0</v>
      </c>
      <c r="G4">
        <f>SUMIFS('Data Penerima'!$L$2:$L$558,'Data Penerima'!$B$2:$B$558,B4,'Data Penerima'!$D$2:$D$558,C4)</f>
        <v>0</v>
      </c>
    </row>
    <row r="5" spans="1:7" x14ac:dyDescent="0.35">
      <c r="A5">
        <v>4</v>
      </c>
      <c r="B5" t="s">
        <v>18</v>
      </c>
      <c r="C5" t="s">
        <v>22</v>
      </c>
      <c r="D5">
        <f>COUNTIFS('Data Penerima'!$B$2:$B$558,B5,'Data Penerima'!$D$2:$D$558,C5,'Data Penerima'!$F$2:$F$558,"?*")</f>
        <v>0</v>
      </c>
      <c r="E5">
        <f>SUMIFS('Data Penerima'!$J$2:$J$558,'Data Penerima'!$B$2:$B$558,B5,'Data Penerima'!$D$2:$D$558,C5)</f>
        <v>0</v>
      </c>
      <c r="F5" s="25">
        <f>SUMIFS('Data Penerima'!$K$2:$K$558,'Data Penerima'!$B$2:$B$558,B5,'Data Penerima'!$D$2:$D$558,C5)</f>
        <v>0</v>
      </c>
      <c r="G5">
        <f>SUMIFS('Data Penerima'!$L$2:$L$558,'Data Penerima'!$B$2:$B$558,B5,'Data Penerima'!$D$2:$D$558,C5)</f>
        <v>0</v>
      </c>
    </row>
    <row r="6" spans="1:7" x14ac:dyDescent="0.35">
      <c r="A6">
        <v>5</v>
      </c>
      <c r="B6" t="s">
        <v>18</v>
      </c>
      <c r="C6" t="s">
        <v>23</v>
      </c>
      <c r="D6">
        <f>COUNTIFS('Data Penerima'!$B$2:$B$558,B6,'Data Penerima'!$D$2:$D$558,C6,'Data Penerima'!$F$2:$F$558,"?*")</f>
        <v>0</v>
      </c>
      <c r="E6">
        <f>SUMIFS('Data Penerima'!$J$2:$J$558,'Data Penerima'!$B$2:$B$558,B6,'Data Penerima'!$D$2:$D$558,C6)</f>
        <v>0</v>
      </c>
      <c r="F6" s="25">
        <f>SUMIFS('Data Penerima'!$K$2:$K$558,'Data Penerima'!$B$2:$B$558,B6,'Data Penerima'!$D$2:$D$558,C6)</f>
        <v>0</v>
      </c>
      <c r="G6">
        <f>SUMIFS('Data Penerima'!$L$2:$L$558,'Data Penerima'!$B$2:$B$558,B6,'Data Penerima'!$D$2:$D$558,C6)</f>
        <v>0</v>
      </c>
    </row>
    <row r="7" spans="1:7" x14ac:dyDescent="0.35">
      <c r="A7">
        <v>6</v>
      </c>
      <c r="B7" t="s">
        <v>18</v>
      </c>
      <c r="C7" t="s">
        <v>24</v>
      </c>
      <c r="D7">
        <f>COUNTIFS('Data Penerima'!$B$2:$B$558,B7,'Data Penerima'!$D$2:$D$558,C7,'Data Penerima'!$F$2:$F$558,"?*")</f>
        <v>0</v>
      </c>
      <c r="E7">
        <f>SUMIFS('Data Penerima'!$J$2:$J$558,'Data Penerima'!$B$2:$B$558,B7,'Data Penerima'!$D$2:$D$558,C7)</f>
        <v>0</v>
      </c>
      <c r="F7" s="25">
        <f>SUMIFS('Data Penerima'!$K$2:$K$558,'Data Penerima'!$B$2:$B$558,B7,'Data Penerima'!$D$2:$D$558,C7)</f>
        <v>0</v>
      </c>
      <c r="G7">
        <f>SUMIFS('Data Penerima'!$L$2:$L$558,'Data Penerima'!$B$2:$B$558,B7,'Data Penerima'!$D$2:$D$558,C7)</f>
        <v>0</v>
      </c>
    </row>
    <row r="8" spans="1:7" x14ac:dyDescent="0.35">
      <c r="A8">
        <v>7</v>
      </c>
      <c r="B8" t="s">
        <v>18</v>
      </c>
      <c r="C8" t="s">
        <v>25</v>
      </c>
      <c r="D8">
        <f>COUNTIFS('Data Penerima'!$B$2:$B$558,B8,'Data Penerima'!$D$2:$D$558,C8,'Data Penerima'!$F$2:$F$558,"?*")</f>
        <v>5</v>
      </c>
      <c r="E8">
        <f>SUMIFS('Data Penerima'!$J$2:$J$558,'Data Penerima'!$B$2:$B$558,B8,'Data Penerima'!$D$2:$D$558,C8)</f>
        <v>93</v>
      </c>
      <c r="F8" s="25">
        <f>SUMIFS('Data Penerima'!$K$2:$K$558,'Data Penerima'!$B$2:$B$558,B8,'Data Penerima'!$D$2:$D$558,C8)</f>
        <v>30</v>
      </c>
      <c r="G8">
        <f>SUMIFS('Data Penerima'!$L$2:$L$558,'Data Penerima'!$B$2:$B$558,B8,'Data Penerima'!$D$2:$D$558,C8)</f>
        <v>450</v>
      </c>
    </row>
    <row r="9" spans="1:7" x14ac:dyDescent="0.35">
      <c r="A9">
        <v>8</v>
      </c>
      <c r="B9" t="s">
        <v>18</v>
      </c>
      <c r="C9" t="s">
        <v>26</v>
      </c>
      <c r="D9">
        <f>COUNTIFS('Data Penerima'!$B$2:$B$558,B9,'Data Penerima'!$D$2:$D$558,C9,'Data Penerima'!$F$2:$F$558,"?*")</f>
        <v>2</v>
      </c>
      <c r="E9">
        <f>SUMIFS('Data Penerima'!$J$2:$J$558,'Data Penerima'!$B$2:$B$558,B9,'Data Penerima'!$D$2:$D$558,C9)</f>
        <v>62</v>
      </c>
      <c r="F9" s="25">
        <f>SUMIFS('Data Penerima'!$K$2:$K$558,'Data Penerima'!$B$2:$B$558,B9,'Data Penerima'!$D$2:$D$558,C9)</f>
        <v>9</v>
      </c>
      <c r="G9">
        <f>SUMIFS('Data Penerima'!$L$2:$L$558,'Data Penerima'!$B$2:$B$558,B9,'Data Penerima'!$D$2:$D$558,C9)</f>
        <v>135</v>
      </c>
    </row>
    <row r="10" spans="1:7" x14ac:dyDescent="0.35">
      <c r="A10">
        <v>9</v>
      </c>
      <c r="B10" t="s">
        <v>18</v>
      </c>
      <c r="C10" t="s">
        <v>27</v>
      </c>
      <c r="D10">
        <f>COUNTIFS('Data Penerima'!$B$2:$B$558,B10,'Data Penerima'!$D$2:$D$558,C10,'Data Penerima'!$F$2:$F$558,"?*")</f>
        <v>0</v>
      </c>
      <c r="E10">
        <f>SUMIFS('Data Penerima'!$J$2:$J$558,'Data Penerima'!$B$2:$B$558,B10,'Data Penerima'!$D$2:$D$558,C10)</f>
        <v>0</v>
      </c>
      <c r="F10" s="25">
        <f>SUMIFS('Data Penerima'!$K$2:$K$558,'Data Penerima'!$B$2:$B$558,B10,'Data Penerima'!$D$2:$D$558,C10)</f>
        <v>0</v>
      </c>
      <c r="G10">
        <f>SUMIFS('Data Penerima'!$L$2:$L$558,'Data Penerima'!$B$2:$B$558,B10,'Data Penerima'!$D$2:$D$558,C10)</f>
        <v>0</v>
      </c>
    </row>
    <row r="11" spans="1:7" x14ac:dyDescent="0.35">
      <c r="A11">
        <v>10</v>
      </c>
      <c r="B11" t="s">
        <v>18</v>
      </c>
      <c r="C11" t="s">
        <v>28</v>
      </c>
      <c r="D11">
        <f>COUNTIFS('Data Penerima'!$B$2:$B$558,B11,'Data Penerima'!$D$2:$D$558,C11,'Data Penerima'!$F$2:$F$558,"?*")</f>
        <v>1</v>
      </c>
      <c r="E11">
        <f>SUMIFS('Data Penerima'!$J$2:$J$558,'Data Penerima'!$B$2:$B$558,B11,'Data Penerima'!$D$2:$D$558,C11)</f>
        <v>25</v>
      </c>
      <c r="F11" s="25">
        <f>SUMIFS('Data Penerima'!$K$2:$K$558,'Data Penerima'!$B$2:$B$558,B11,'Data Penerima'!$D$2:$D$558,C11)</f>
        <v>4</v>
      </c>
      <c r="G11">
        <f>SUMIFS('Data Penerima'!$L$2:$L$558,'Data Penerima'!$B$2:$B$558,B11,'Data Penerima'!$D$2:$D$558,C11)</f>
        <v>60</v>
      </c>
    </row>
    <row r="12" spans="1:7" x14ac:dyDescent="0.35">
      <c r="A12">
        <v>11</v>
      </c>
      <c r="B12" t="s">
        <v>18</v>
      </c>
      <c r="C12" t="s">
        <v>29</v>
      </c>
      <c r="D12">
        <f>COUNTIFS('Data Penerima'!$B$2:$B$558,B12,'Data Penerima'!$D$2:$D$558,C12,'Data Penerima'!$F$2:$F$558,"?*")</f>
        <v>0</v>
      </c>
      <c r="E12">
        <f>SUMIFS('Data Penerima'!$J$2:$J$558,'Data Penerima'!$B$2:$B$558,B12,'Data Penerima'!$D$2:$D$558,C12)</f>
        <v>0</v>
      </c>
      <c r="F12" s="25">
        <f>SUMIFS('Data Penerima'!$K$2:$K$558,'Data Penerima'!$B$2:$B$558,B12,'Data Penerima'!$D$2:$D$558,C12)</f>
        <v>0</v>
      </c>
      <c r="G12">
        <f>SUMIFS('Data Penerima'!$L$2:$L$558,'Data Penerima'!$B$2:$B$558,B12,'Data Penerima'!$D$2:$D$558,C12)</f>
        <v>0</v>
      </c>
    </row>
    <row r="13" spans="1:7" x14ac:dyDescent="0.35">
      <c r="A13">
        <v>12</v>
      </c>
      <c r="B13" t="s">
        <v>18</v>
      </c>
      <c r="C13" t="s">
        <v>30</v>
      </c>
      <c r="D13">
        <f>COUNTIFS('Data Penerima'!$B$2:$B$558,B13,'Data Penerima'!$D$2:$D$558,C13,'Data Penerima'!$F$2:$F$558,"?*")</f>
        <v>2</v>
      </c>
      <c r="E13">
        <f>SUMIFS('Data Penerima'!$J$2:$J$558,'Data Penerima'!$B$2:$B$558,B13,'Data Penerima'!$D$2:$D$558,C13)</f>
        <v>54</v>
      </c>
      <c r="F13" s="25">
        <f>SUMIFS('Data Penerima'!$K$2:$K$558,'Data Penerima'!$B$2:$B$558,B13,'Data Penerima'!$D$2:$D$558,C13)</f>
        <v>15.333333333333334</v>
      </c>
      <c r="G13">
        <f>SUMIFS('Data Penerima'!$L$2:$L$558,'Data Penerima'!$B$2:$B$558,B13,'Data Penerima'!$D$2:$D$558,C13)</f>
        <v>230</v>
      </c>
    </row>
    <row r="14" spans="1:7" x14ac:dyDescent="0.35">
      <c r="A14">
        <v>13</v>
      </c>
      <c r="B14" t="s">
        <v>18</v>
      </c>
      <c r="C14" t="s">
        <v>31</v>
      </c>
      <c r="D14">
        <f>COUNTIFS('Data Penerima'!$B$2:$B$558,B14,'Data Penerima'!$D$2:$D$558,C14,'Data Penerima'!$F$2:$F$558,"?*")</f>
        <v>3</v>
      </c>
      <c r="E14">
        <f>SUMIFS('Data Penerima'!$J$2:$J$558,'Data Penerima'!$B$2:$B$558,B14,'Data Penerima'!$D$2:$D$558,C14)</f>
        <v>77</v>
      </c>
      <c r="F14" s="25">
        <f>SUMIFS('Data Penerima'!$K$2:$K$558,'Data Penerima'!$B$2:$B$558,B14,'Data Penerima'!$D$2:$D$558,C14)</f>
        <v>11</v>
      </c>
      <c r="G14">
        <f>SUMIFS('Data Penerima'!$L$2:$L$558,'Data Penerima'!$B$2:$B$558,B14,'Data Penerima'!$D$2:$D$558,C14)</f>
        <v>165</v>
      </c>
    </row>
    <row r="15" spans="1:7" x14ac:dyDescent="0.35">
      <c r="A15">
        <v>14</v>
      </c>
      <c r="B15" t="s">
        <v>18</v>
      </c>
      <c r="C15" t="s">
        <v>32</v>
      </c>
      <c r="D15">
        <f>COUNTIFS('Data Penerima'!$B$2:$B$558,B15,'Data Penerima'!$D$2:$D$558,C15,'Data Penerima'!$F$2:$F$558,"?*")</f>
        <v>6</v>
      </c>
      <c r="E15">
        <f>SUMIFS('Data Penerima'!$J$2:$J$558,'Data Penerima'!$B$2:$B$558,B15,'Data Penerima'!$D$2:$D$558,C15)</f>
        <v>126</v>
      </c>
      <c r="F15" s="25">
        <f>SUMIFS('Data Penerima'!$K$2:$K$558,'Data Penerima'!$B$2:$B$558,B15,'Data Penerima'!$D$2:$D$558,C15)</f>
        <v>27.933333333333334</v>
      </c>
      <c r="G15">
        <f>SUMIFS('Data Penerima'!$L$2:$L$558,'Data Penerima'!$B$2:$B$558,B15,'Data Penerima'!$D$2:$D$558,C15)</f>
        <v>420</v>
      </c>
    </row>
    <row r="16" spans="1:7" x14ac:dyDescent="0.35">
      <c r="A16">
        <v>15</v>
      </c>
      <c r="B16" t="s">
        <v>18</v>
      </c>
      <c r="C16" t="s">
        <v>33</v>
      </c>
      <c r="D16">
        <f>COUNTIFS('Data Penerima'!$B$2:$B$558,B16,'Data Penerima'!$D$2:$D$558,C16,'Data Penerima'!$F$2:$F$558,"?*")</f>
        <v>2</v>
      </c>
      <c r="E16">
        <f>SUMIFS('Data Penerima'!$J$2:$J$558,'Data Penerima'!$B$2:$B$558,B16,'Data Penerima'!$D$2:$D$558,C16)</f>
        <v>48</v>
      </c>
      <c r="F16" s="25">
        <f>SUMIFS('Data Penerima'!$K$2:$K$558,'Data Penerima'!$B$2:$B$558,B16,'Data Penerima'!$D$2:$D$558,C16)</f>
        <v>10</v>
      </c>
      <c r="G16">
        <f>SUMIFS('Data Penerima'!$L$2:$L$558,'Data Penerima'!$B$2:$B$558,B16,'Data Penerima'!$D$2:$D$558,C16)</f>
        <v>150</v>
      </c>
    </row>
    <row r="17" spans="1:7" x14ac:dyDescent="0.35">
      <c r="A17">
        <v>16</v>
      </c>
      <c r="B17" t="s">
        <v>34</v>
      </c>
      <c r="C17" t="s">
        <v>19</v>
      </c>
      <c r="D17">
        <f>COUNTIFS('Data Penerima'!$B$2:$B$558,B17,'Data Penerima'!$D$2:$D$558,C17,'Data Penerima'!$F$2:$F$558,"?*")</f>
        <v>0</v>
      </c>
      <c r="E17">
        <f>SUMIFS('Data Penerima'!$J$2:$J$558,'Data Penerima'!$B$2:$B$558,B17,'Data Penerima'!$D$2:$D$558,C17)</f>
        <v>0</v>
      </c>
      <c r="F17" s="25">
        <f>SUMIFS('Data Penerima'!$K$2:$K$558,'Data Penerima'!$B$2:$B$558,B17,'Data Penerima'!$D$2:$D$558,C17)</f>
        <v>0</v>
      </c>
      <c r="G17">
        <f>SUMIFS('Data Penerima'!$L$2:$L$558,'Data Penerima'!$B$2:$B$558,B17,'Data Penerima'!$D$2:$D$558,C17)</f>
        <v>0</v>
      </c>
    </row>
    <row r="18" spans="1:7" x14ac:dyDescent="0.35">
      <c r="A18">
        <v>17</v>
      </c>
      <c r="B18" t="s">
        <v>34</v>
      </c>
      <c r="C18" t="s">
        <v>20</v>
      </c>
      <c r="D18">
        <f>COUNTIFS('Data Penerima'!$B$2:$B$558,B18,'Data Penerima'!$D$2:$D$558,C18,'Data Penerima'!$F$2:$F$558,"?*")</f>
        <v>2</v>
      </c>
      <c r="E18">
        <f>SUMIFS('Data Penerima'!$J$2:$J$558,'Data Penerima'!$B$2:$B$558,B18,'Data Penerima'!$D$2:$D$558,C18)</f>
        <v>30</v>
      </c>
      <c r="F18" s="25">
        <f>SUMIFS('Data Penerima'!$K$2:$K$558,'Data Penerima'!$B$2:$B$558,B18,'Data Penerima'!$D$2:$D$558,C18)</f>
        <v>8</v>
      </c>
      <c r="G18">
        <f>SUMIFS('Data Penerima'!$L$2:$L$558,'Data Penerima'!$B$2:$B$558,B18,'Data Penerima'!$D$2:$D$558,C18)</f>
        <v>120</v>
      </c>
    </row>
    <row r="19" spans="1:7" x14ac:dyDescent="0.35">
      <c r="A19">
        <v>18</v>
      </c>
      <c r="B19" t="s">
        <v>34</v>
      </c>
      <c r="C19" t="s">
        <v>21</v>
      </c>
      <c r="D19">
        <f>COUNTIFS('Data Penerima'!$B$2:$B$558,B19,'Data Penerima'!$D$2:$D$558,C19,'Data Penerima'!$F$2:$F$558,"?*")</f>
        <v>4</v>
      </c>
      <c r="E19">
        <f>SUMIFS('Data Penerima'!$J$2:$J$558,'Data Penerima'!$B$2:$B$558,B19,'Data Penerima'!$D$2:$D$558,C19)</f>
        <v>112</v>
      </c>
      <c r="F19" s="25">
        <f>SUMIFS('Data Penerima'!$K$2:$K$558,'Data Penerima'!$B$2:$B$558,B19,'Data Penerima'!$D$2:$D$558,C19)</f>
        <v>20</v>
      </c>
      <c r="G19">
        <f>SUMIFS('Data Penerima'!$L$2:$L$558,'Data Penerima'!$B$2:$B$558,B19,'Data Penerima'!$D$2:$D$558,C19)</f>
        <v>300</v>
      </c>
    </row>
    <row r="20" spans="1:7" x14ac:dyDescent="0.35">
      <c r="A20">
        <v>19</v>
      </c>
      <c r="B20" t="s">
        <v>34</v>
      </c>
      <c r="C20" t="s">
        <v>22</v>
      </c>
      <c r="D20">
        <f>COUNTIFS('Data Penerima'!$B$2:$B$558,B20,'Data Penerima'!$D$2:$D$558,C20,'Data Penerima'!$F$2:$F$558,"?*")</f>
        <v>0</v>
      </c>
      <c r="E20">
        <f>SUMIFS('Data Penerima'!$J$2:$J$558,'Data Penerima'!$B$2:$B$558,B20,'Data Penerima'!$D$2:$D$558,C20)</f>
        <v>0</v>
      </c>
      <c r="F20" s="25">
        <f>SUMIFS('Data Penerima'!$K$2:$K$558,'Data Penerima'!$B$2:$B$558,B20,'Data Penerima'!$D$2:$D$558,C20)</f>
        <v>0</v>
      </c>
      <c r="G20">
        <f>SUMIFS('Data Penerima'!$L$2:$L$558,'Data Penerima'!$B$2:$B$558,B20,'Data Penerima'!$D$2:$D$558,C20)</f>
        <v>0</v>
      </c>
    </row>
    <row r="21" spans="1:7" x14ac:dyDescent="0.35">
      <c r="A21">
        <v>20</v>
      </c>
      <c r="B21" t="s">
        <v>34</v>
      </c>
      <c r="C21" t="s">
        <v>23</v>
      </c>
      <c r="D21">
        <f>COUNTIFS('Data Penerima'!$B$2:$B$558,B21,'Data Penerima'!$D$2:$D$558,C21,'Data Penerima'!$F$2:$F$558,"?*")</f>
        <v>3</v>
      </c>
      <c r="E21">
        <f>SUMIFS('Data Penerima'!$J$2:$J$558,'Data Penerima'!$B$2:$B$558,B21,'Data Penerima'!$D$2:$D$558,C21)</f>
        <v>74</v>
      </c>
      <c r="F21" s="25">
        <f>SUMIFS('Data Penerima'!$K$2:$K$558,'Data Penerima'!$B$2:$B$558,B21,'Data Penerima'!$D$2:$D$558,C21)</f>
        <v>34</v>
      </c>
      <c r="G21">
        <f>SUMIFS('Data Penerima'!$L$2:$L$558,'Data Penerima'!$B$2:$B$558,B21,'Data Penerima'!$D$2:$D$558,C21)</f>
        <v>510</v>
      </c>
    </row>
    <row r="22" spans="1:7" x14ac:dyDescent="0.35">
      <c r="A22">
        <v>21</v>
      </c>
      <c r="B22" t="s">
        <v>34</v>
      </c>
      <c r="C22" t="s">
        <v>24</v>
      </c>
      <c r="D22">
        <f>COUNTIFS('Data Penerima'!$B$2:$B$558,B22,'Data Penerima'!$D$2:$D$558,C22,'Data Penerima'!$F$2:$F$558,"?*")</f>
        <v>0</v>
      </c>
      <c r="E22">
        <f>SUMIFS('Data Penerima'!$J$2:$J$558,'Data Penerima'!$B$2:$B$558,B22,'Data Penerima'!$D$2:$D$558,C22)</f>
        <v>0</v>
      </c>
      <c r="F22" s="25">
        <f>SUMIFS('Data Penerima'!$K$2:$K$558,'Data Penerima'!$B$2:$B$558,B22,'Data Penerima'!$D$2:$D$558,C22)</f>
        <v>0</v>
      </c>
      <c r="G22">
        <f>SUMIFS('Data Penerima'!$L$2:$L$558,'Data Penerima'!$B$2:$B$558,B22,'Data Penerima'!$D$2:$D$558,C22)</f>
        <v>0</v>
      </c>
    </row>
    <row r="23" spans="1:7" x14ac:dyDescent="0.35">
      <c r="A23">
        <v>22</v>
      </c>
      <c r="B23" t="s">
        <v>34</v>
      </c>
      <c r="C23" t="s">
        <v>25</v>
      </c>
      <c r="D23">
        <f>COUNTIFS('Data Penerima'!$B$2:$B$558,B23,'Data Penerima'!$D$2:$D$558,C23,'Data Penerima'!$F$2:$F$558,"?*")</f>
        <v>7</v>
      </c>
      <c r="E23">
        <f>SUMIFS('Data Penerima'!$J$2:$J$558,'Data Penerima'!$B$2:$B$558,B23,'Data Penerima'!$D$2:$D$558,C23)</f>
        <v>158</v>
      </c>
      <c r="F23" s="25">
        <f>SUMIFS('Data Penerima'!$K$2:$K$558,'Data Penerima'!$B$2:$B$558,B23,'Data Penerima'!$D$2:$D$558,C23)</f>
        <v>55</v>
      </c>
      <c r="G23">
        <f>SUMIFS('Data Penerima'!$L$2:$L$558,'Data Penerima'!$B$2:$B$558,B23,'Data Penerima'!$D$2:$D$558,C23)</f>
        <v>825</v>
      </c>
    </row>
    <row r="24" spans="1:7" x14ac:dyDescent="0.35">
      <c r="A24">
        <v>23</v>
      </c>
      <c r="B24" t="s">
        <v>34</v>
      </c>
      <c r="C24" t="s">
        <v>26</v>
      </c>
      <c r="D24">
        <f>COUNTIFS('Data Penerima'!$B$2:$B$558,B24,'Data Penerima'!$D$2:$D$558,C24,'Data Penerima'!$F$2:$F$558,"?*")</f>
        <v>1</v>
      </c>
      <c r="E24">
        <f>SUMIFS('Data Penerima'!$J$2:$J$558,'Data Penerima'!$B$2:$B$558,B24,'Data Penerima'!$D$2:$D$558,C24)</f>
        <v>32</v>
      </c>
      <c r="F24" s="25">
        <f>SUMIFS('Data Penerima'!$K$2:$K$558,'Data Penerima'!$B$2:$B$558,B24,'Data Penerima'!$D$2:$D$558,C24)</f>
        <v>15</v>
      </c>
      <c r="G24">
        <f>SUMIFS('Data Penerima'!$L$2:$L$558,'Data Penerima'!$B$2:$B$558,B24,'Data Penerima'!$D$2:$D$558,C24)</f>
        <v>225</v>
      </c>
    </row>
    <row r="25" spans="1:7" x14ac:dyDescent="0.35">
      <c r="A25">
        <v>24</v>
      </c>
      <c r="B25" t="s">
        <v>34</v>
      </c>
      <c r="C25" t="s">
        <v>27</v>
      </c>
      <c r="D25">
        <f>COUNTIFS('Data Penerima'!$B$2:$B$558,B25,'Data Penerima'!$D$2:$D$558,C25,'Data Penerima'!$F$2:$F$558,"?*")</f>
        <v>0</v>
      </c>
      <c r="E25">
        <f>SUMIFS('Data Penerima'!$J$2:$J$558,'Data Penerima'!$B$2:$B$558,B25,'Data Penerima'!$D$2:$D$558,C25)</f>
        <v>0</v>
      </c>
      <c r="F25" s="25">
        <f>SUMIFS('Data Penerima'!$K$2:$K$558,'Data Penerima'!$B$2:$B$558,B25,'Data Penerima'!$D$2:$D$558,C25)</f>
        <v>0</v>
      </c>
      <c r="G25">
        <f>SUMIFS('Data Penerima'!$L$2:$L$558,'Data Penerima'!$B$2:$B$558,B25,'Data Penerima'!$D$2:$D$558,C25)</f>
        <v>0</v>
      </c>
    </row>
    <row r="26" spans="1:7" x14ac:dyDescent="0.35">
      <c r="A26">
        <v>25</v>
      </c>
      <c r="B26" t="s">
        <v>34</v>
      </c>
      <c r="C26" t="s">
        <v>28</v>
      </c>
      <c r="D26">
        <f>COUNTIFS('Data Penerima'!$B$2:$B$558,B26,'Data Penerima'!$D$2:$D$558,C26,'Data Penerima'!$F$2:$F$558,"?*")</f>
        <v>2</v>
      </c>
      <c r="E26">
        <f>SUMIFS('Data Penerima'!$J$2:$J$558,'Data Penerima'!$B$2:$B$558,B26,'Data Penerima'!$D$2:$D$558,C26)</f>
        <v>45</v>
      </c>
      <c r="F26" s="25">
        <f>SUMIFS('Data Penerima'!$K$2:$K$558,'Data Penerima'!$B$2:$B$558,B26,'Data Penerima'!$D$2:$D$558,C26)</f>
        <v>8</v>
      </c>
      <c r="G26">
        <f>SUMIFS('Data Penerima'!$L$2:$L$558,'Data Penerima'!$B$2:$B$558,B26,'Data Penerima'!$D$2:$D$558,C26)</f>
        <v>120</v>
      </c>
    </row>
    <row r="27" spans="1:7" x14ac:dyDescent="0.35">
      <c r="A27">
        <v>26</v>
      </c>
      <c r="B27" t="s">
        <v>34</v>
      </c>
      <c r="C27" t="s">
        <v>29</v>
      </c>
      <c r="D27">
        <f>COUNTIFS('Data Penerima'!$B$2:$B$558,B27,'Data Penerima'!$D$2:$D$558,C27,'Data Penerima'!$F$2:$F$558,"?*")</f>
        <v>0</v>
      </c>
      <c r="E27">
        <f>SUMIFS('Data Penerima'!$J$2:$J$558,'Data Penerima'!$B$2:$B$558,B27,'Data Penerima'!$D$2:$D$558,C27)</f>
        <v>0</v>
      </c>
      <c r="F27" s="25">
        <f>SUMIFS('Data Penerima'!$K$2:$K$558,'Data Penerima'!$B$2:$B$558,B27,'Data Penerima'!$D$2:$D$558,C27)</f>
        <v>0</v>
      </c>
      <c r="G27">
        <f>SUMIFS('Data Penerima'!$L$2:$L$558,'Data Penerima'!$B$2:$B$558,B27,'Data Penerima'!$D$2:$D$558,C27)</f>
        <v>0</v>
      </c>
    </row>
    <row r="28" spans="1:7" x14ac:dyDescent="0.35">
      <c r="A28">
        <v>27</v>
      </c>
      <c r="B28" t="s">
        <v>34</v>
      </c>
      <c r="C28" t="s">
        <v>30</v>
      </c>
      <c r="D28">
        <f>COUNTIFS('Data Penerima'!$B$2:$B$558,B28,'Data Penerima'!$D$2:$D$558,C28,'Data Penerima'!$F$2:$F$558,"?*")</f>
        <v>0</v>
      </c>
      <c r="E28">
        <f>SUMIFS('Data Penerima'!$J$2:$J$558,'Data Penerima'!$B$2:$B$558,B28,'Data Penerima'!$D$2:$D$558,C28)</f>
        <v>0</v>
      </c>
      <c r="F28" s="25">
        <f>SUMIFS('Data Penerima'!$K$2:$K$558,'Data Penerima'!$B$2:$B$558,B28,'Data Penerima'!$D$2:$D$558,C28)</f>
        <v>0</v>
      </c>
      <c r="G28">
        <f>SUMIFS('Data Penerima'!$L$2:$L$558,'Data Penerima'!$B$2:$B$558,B28,'Data Penerima'!$D$2:$D$558,C28)</f>
        <v>0</v>
      </c>
    </row>
    <row r="29" spans="1:7" x14ac:dyDescent="0.35">
      <c r="A29">
        <v>28</v>
      </c>
      <c r="B29" t="s">
        <v>34</v>
      </c>
      <c r="C29" t="s">
        <v>31</v>
      </c>
      <c r="D29">
        <f>COUNTIFS('Data Penerima'!$B$2:$B$558,B29,'Data Penerima'!$D$2:$D$558,C29,'Data Penerima'!$F$2:$F$558,"?*")</f>
        <v>4</v>
      </c>
      <c r="E29">
        <f>SUMIFS('Data Penerima'!$J$2:$J$558,'Data Penerima'!$B$2:$B$558,B29,'Data Penerima'!$D$2:$D$558,C29)</f>
        <v>125</v>
      </c>
      <c r="F29" s="25">
        <f>SUMIFS('Data Penerima'!$K$2:$K$558,'Data Penerima'!$B$2:$B$558,B29,'Data Penerima'!$D$2:$D$558,C29)</f>
        <v>40</v>
      </c>
      <c r="G29">
        <f>SUMIFS('Data Penerima'!$L$2:$L$558,'Data Penerima'!$B$2:$B$558,B29,'Data Penerima'!$D$2:$D$558,C29)</f>
        <v>600</v>
      </c>
    </row>
    <row r="30" spans="1:7" x14ac:dyDescent="0.35">
      <c r="A30">
        <v>29</v>
      </c>
      <c r="B30" t="s">
        <v>34</v>
      </c>
      <c r="C30" t="s">
        <v>32</v>
      </c>
      <c r="D30">
        <f>COUNTIFS('Data Penerima'!$B$2:$B$558,B30,'Data Penerima'!$D$2:$D$558,C30,'Data Penerima'!$F$2:$F$558,"?*")</f>
        <v>9</v>
      </c>
      <c r="E30">
        <f>SUMIFS('Data Penerima'!$J$2:$J$558,'Data Penerima'!$B$2:$B$558,B30,'Data Penerima'!$D$2:$D$558,C30)</f>
        <v>192</v>
      </c>
      <c r="F30" s="25">
        <f>SUMIFS('Data Penerima'!$K$2:$K$558,'Data Penerima'!$B$2:$B$558,B30,'Data Penerima'!$D$2:$D$558,C30)</f>
        <v>56</v>
      </c>
      <c r="G30">
        <f>SUMIFS('Data Penerima'!$L$2:$L$558,'Data Penerima'!$B$2:$B$558,B30,'Data Penerima'!$D$2:$D$558,C30)</f>
        <v>840</v>
      </c>
    </row>
    <row r="31" spans="1:7" x14ac:dyDescent="0.35">
      <c r="A31">
        <v>30</v>
      </c>
      <c r="B31" t="s">
        <v>34</v>
      </c>
      <c r="C31" t="s">
        <v>33</v>
      </c>
      <c r="D31">
        <f>COUNTIFS('Data Penerima'!$B$2:$B$558,B31,'Data Penerima'!$D$2:$D$558,C31,'Data Penerima'!$F$2:$F$558,"?*")</f>
        <v>2</v>
      </c>
      <c r="E31">
        <f>SUMIFS('Data Penerima'!$J$2:$J$558,'Data Penerima'!$B$2:$B$558,B31,'Data Penerima'!$D$2:$D$558,C31)</f>
        <v>32</v>
      </c>
      <c r="F31" s="25">
        <f>SUMIFS('Data Penerima'!$K$2:$K$558,'Data Penerima'!$B$2:$B$558,B31,'Data Penerima'!$D$2:$D$558,C31)</f>
        <v>30</v>
      </c>
      <c r="G31">
        <f>SUMIFS('Data Penerima'!$L$2:$L$558,'Data Penerima'!$B$2:$B$558,B31,'Data Penerima'!$D$2:$D$558,C31)</f>
        <v>450</v>
      </c>
    </row>
    <row r="32" spans="1:7" x14ac:dyDescent="0.35">
      <c r="A32">
        <v>31</v>
      </c>
      <c r="B32" t="s">
        <v>35</v>
      </c>
      <c r="C32" t="s">
        <v>19</v>
      </c>
      <c r="D32">
        <f>COUNTIFS('Data Penerima'!$B$2:$B$558,B32,'Data Penerima'!$D$2:$D$558,C32,'Data Penerima'!$F$2:$F$558,"?*")</f>
        <v>0</v>
      </c>
      <c r="E32">
        <f>SUMIFS('Data Penerima'!$J$2:$J$558,'Data Penerima'!$B$2:$B$558,B32,'Data Penerima'!$D$2:$D$558,C32)</f>
        <v>0</v>
      </c>
      <c r="F32" s="25">
        <f>SUMIFS('Data Penerima'!$K$2:$K$558,'Data Penerima'!$B$2:$B$558,B32,'Data Penerima'!$D$2:$D$558,C32)</f>
        <v>0</v>
      </c>
      <c r="G32">
        <f>SUMIFS('Data Penerima'!$L$2:$L$558,'Data Penerima'!$B$2:$B$558,B32,'Data Penerima'!$D$2:$D$558,C32)</f>
        <v>0</v>
      </c>
    </row>
    <row r="33" spans="1:7" x14ac:dyDescent="0.35">
      <c r="A33">
        <v>32</v>
      </c>
      <c r="B33" t="s">
        <v>35</v>
      </c>
      <c r="C33" t="s">
        <v>20</v>
      </c>
      <c r="D33">
        <f>COUNTIFS('Data Penerima'!$B$2:$B$558,B33,'Data Penerima'!$D$2:$D$558,C33,'Data Penerima'!$F$2:$F$558,"?*")</f>
        <v>7</v>
      </c>
      <c r="E33">
        <f>SUMIFS('Data Penerima'!$J$2:$J$558,'Data Penerima'!$B$2:$B$558,B33,'Data Penerima'!$D$2:$D$558,C33)</f>
        <v>222</v>
      </c>
      <c r="F33" s="25">
        <f>SUMIFS('Data Penerima'!$K$2:$K$558,'Data Penerima'!$B$2:$B$558,B33,'Data Penerima'!$D$2:$D$558,C33)</f>
        <v>22</v>
      </c>
      <c r="G33">
        <f>SUMIFS('Data Penerima'!$L$2:$L$558,'Data Penerima'!$B$2:$B$558,B33,'Data Penerima'!$D$2:$D$558,C33)</f>
        <v>330</v>
      </c>
    </row>
    <row r="34" spans="1:7" x14ac:dyDescent="0.35">
      <c r="A34">
        <v>33</v>
      </c>
      <c r="B34" t="s">
        <v>35</v>
      </c>
      <c r="C34" t="s">
        <v>21</v>
      </c>
      <c r="D34">
        <f>COUNTIFS('Data Penerima'!$B$2:$B$558,B34,'Data Penerima'!$D$2:$D$558,C34,'Data Penerima'!$F$2:$F$558,"?*")</f>
        <v>0</v>
      </c>
      <c r="E34">
        <f>SUMIFS('Data Penerima'!$J$2:$J$558,'Data Penerima'!$B$2:$B$558,B34,'Data Penerima'!$D$2:$D$558,C34)</f>
        <v>0</v>
      </c>
      <c r="F34" s="25">
        <f>SUMIFS('Data Penerima'!$K$2:$K$558,'Data Penerima'!$B$2:$B$558,B34,'Data Penerima'!$D$2:$D$558,C34)</f>
        <v>0</v>
      </c>
      <c r="G34">
        <f>SUMIFS('Data Penerima'!$L$2:$L$558,'Data Penerima'!$B$2:$B$558,B34,'Data Penerima'!$D$2:$D$558,C34)</f>
        <v>0</v>
      </c>
    </row>
    <row r="35" spans="1:7" x14ac:dyDescent="0.35">
      <c r="A35">
        <v>34</v>
      </c>
      <c r="B35" t="s">
        <v>35</v>
      </c>
      <c r="C35" t="s">
        <v>22</v>
      </c>
      <c r="D35">
        <f>COUNTIFS('Data Penerima'!$B$2:$B$558,B35,'Data Penerima'!$D$2:$D$558,C35,'Data Penerima'!$F$2:$F$558,"?*")</f>
        <v>8</v>
      </c>
      <c r="E35">
        <f>SUMIFS('Data Penerima'!$J$2:$J$558,'Data Penerima'!$B$2:$B$558,B35,'Data Penerima'!$D$2:$D$558,C35)</f>
        <v>142</v>
      </c>
      <c r="F35" s="25">
        <f>SUMIFS('Data Penerima'!$K$2:$K$558,'Data Penerima'!$B$2:$B$558,B35,'Data Penerima'!$D$2:$D$558,C35)</f>
        <v>100</v>
      </c>
      <c r="G35">
        <f>SUMIFS('Data Penerima'!$L$2:$L$558,'Data Penerima'!$B$2:$B$558,B35,'Data Penerima'!$D$2:$D$558,C35)</f>
        <v>1500</v>
      </c>
    </row>
    <row r="36" spans="1:7" x14ac:dyDescent="0.35">
      <c r="A36">
        <v>35</v>
      </c>
      <c r="B36" t="s">
        <v>35</v>
      </c>
      <c r="C36" t="s">
        <v>23</v>
      </c>
      <c r="D36">
        <f>COUNTIFS('Data Penerima'!$B$2:$B$558,B36,'Data Penerima'!$D$2:$D$558,C36,'Data Penerima'!$F$2:$F$558,"?*")</f>
        <v>0</v>
      </c>
      <c r="E36">
        <f>SUMIFS('Data Penerima'!$J$2:$J$558,'Data Penerima'!$B$2:$B$558,B36,'Data Penerima'!$D$2:$D$558,C36)</f>
        <v>0</v>
      </c>
      <c r="F36" s="25">
        <f>SUMIFS('Data Penerima'!$K$2:$K$558,'Data Penerima'!$B$2:$B$558,B36,'Data Penerima'!$D$2:$D$558,C36)</f>
        <v>0</v>
      </c>
      <c r="G36">
        <f>SUMIFS('Data Penerima'!$L$2:$L$558,'Data Penerima'!$B$2:$B$558,B36,'Data Penerima'!$D$2:$D$558,C36)</f>
        <v>0</v>
      </c>
    </row>
    <row r="37" spans="1:7" x14ac:dyDescent="0.35">
      <c r="A37">
        <v>36</v>
      </c>
      <c r="B37" t="s">
        <v>35</v>
      </c>
      <c r="C37" t="s">
        <v>24</v>
      </c>
      <c r="D37">
        <f>COUNTIFS('Data Penerima'!$B$2:$B$558,B37,'Data Penerima'!$D$2:$D$558,C37,'Data Penerima'!$F$2:$F$558,"?*")</f>
        <v>8</v>
      </c>
      <c r="E37">
        <f>SUMIFS('Data Penerima'!$J$2:$J$558,'Data Penerima'!$B$2:$B$558,B37,'Data Penerima'!$D$2:$D$558,C37)</f>
        <v>208</v>
      </c>
      <c r="F37" s="25">
        <f>SUMIFS('Data Penerima'!$K$2:$K$558,'Data Penerima'!$B$2:$B$558,B37,'Data Penerima'!$D$2:$D$558,C37)</f>
        <v>100</v>
      </c>
      <c r="G37">
        <f>SUMIFS('Data Penerima'!$L$2:$L$558,'Data Penerima'!$B$2:$B$558,B37,'Data Penerima'!$D$2:$D$558,C37)</f>
        <v>1500</v>
      </c>
    </row>
    <row r="38" spans="1:7" x14ac:dyDescent="0.35">
      <c r="A38">
        <v>37</v>
      </c>
      <c r="B38" t="s">
        <v>35</v>
      </c>
      <c r="C38" t="s">
        <v>25</v>
      </c>
      <c r="D38">
        <f>COUNTIFS('Data Penerima'!$B$2:$B$558,B38,'Data Penerima'!$D$2:$D$558,C38,'Data Penerima'!$F$2:$F$558,"?*")</f>
        <v>30</v>
      </c>
      <c r="E38">
        <f>SUMIFS('Data Penerima'!$J$2:$J$558,'Data Penerima'!$B$2:$B$558,B38,'Data Penerima'!$D$2:$D$558,C38)</f>
        <v>634</v>
      </c>
      <c r="F38" s="25">
        <f>SUMIFS('Data Penerima'!$K$2:$K$558,'Data Penerima'!$B$2:$B$558,B38,'Data Penerima'!$D$2:$D$558,C38)</f>
        <v>288</v>
      </c>
      <c r="G38">
        <f>SUMIFS('Data Penerima'!$L$2:$L$558,'Data Penerima'!$B$2:$B$558,B38,'Data Penerima'!$D$2:$D$558,C38)</f>
        <v>4320</v>
      </c>
    </row>
    <row r="39" spans="1:7" x14ac:dyDescent="0.35">
      <c r="A39">
        <v>38</v>
      </c>
      <c r="B39" t="s">
        <v>35</v>
      </c>
      <c r="C39" t="s">
        <v>26</v>
      </c>
      <c r="D39">
        <f>COUNTIFS('Data Penerima'!$B$2:$B$558,B39,'Data Penerima'!$D$2:$D$558,C39,'Data Penerima'!$F$2:$F$558,"?*")</f>
        <v>40</v>
      </c>
      <c r="E39">
        <f>SUMIFS('Data Penerima'!$J$2:$J$558,'Data Penerima'!$B$2:$B$558,B39,'Data Penerima'!$D$2:$D$558,C39)</f>
        <v>769</v>
      </c>
      <c r="F39" s="25">
        <f>SUMIFS('Data Penerima'!$K$2:$K$558,'Data Penerima'!$B$2:$B$558,B39,'Data Penerima'!$D$2:$D$558,C39)</f>
        <v>180</v>
      </c>
      <c r="G39">
        <f>SUMIFS('Data Penerima'!$L$2:$L$558,'Data Penerima'!$B$2:$B$558,B39,'Data Penerima'!$D$2:$D$558,C39)</f>
        <v>2700</v>
      </c>
    </row>
    <row r="40" spans="1:7" x14ac:dyDescent="0.35">
      <c r="A40">
        <v>39</v>
      </c>
      <c r="B40" t="s">
        <v>35</v>
      </c>
      <c r="C40" t="s">
        <v>27</v>
      </c>
      <c r="D40">
        <f>COUNTIFS('Data Penerima'!$B$2:$B$558,B40,'Data Penerima'!$D$2:$D$558,C40,'Data Penerima'!$F$2:$F$558,"?*")</f>
        <v>0</v>
      </c>
      <c r="E40">
        <f>SUMIFS('Data Penerima'!$J$2:$J$558,'Data Penerima'!$B$2:$B$558,B40,'Data Penerima'!$D$2:$D$558,C40)</f>
        <v>0</v>
      </c>
      <c r="F40" s="25">
        <f>SUMIFS('Data Penerima'!$K$2:$K$558,'Data Penerima'!$B$2:$B$558,B40,'Data Penerima'!$D$2:$D$558,C40)</f>
        <v>0</v>
      </c>
      <c r="G40">
        <f>SUMIFS('Data Penerima'!$L$2:$L$558,'Data Penerima'!$B$2:$B$558,B40,'Data Penerima'!$D$2:$D$558,C40)</f>
        <v>0</v>
      </c>
    </row>
    <row r="41" spans="1:7" x14ac:dyDescent="0.35">
      <c r="A41">
        <v>40</v>
      </c>
      <c r="B41" t="s">
        <v>35</v>
      </c>
      <c r="C41" t="s">
        <v>28</v>
      </c>
      <c r="D41">
        <f>COUNTIFS('Data Penerima'!$B$2:$B$558,B41,'Data Penerima'!$D$2:$D$558,C41,'Data Penerima'!$F$2:$F$558,"?*")</f>
        <v>5</v>
      </c>
      <c r="E41">
        <f>SUMIFS('Data Penerima'!$J$2:$J$558,'Data Penerima'!$B$2:$B$558,B41,'Data Penerima'!$D$2:$D$558,C41)</f>
        <v>125</v>
      </c>
      <c r="F41" s="25">
        <f>SUMIFS('Data Penerima'!$K$2:$K$558,'Data Penerima'!$B$2:$B$558,B41,'Data Penerima'!$D$2:$D$558,C41)</f>
        <v>50</v>
      </c>
      <c r="G41">
        <f>SUMIFS('Data Penerima'!$L$2:$L$558,'Data Penerima'!$B$2:$B$558,B41,'Data Penerima'!$D$2:$D$558,C41)</f>
        <v>750</v>
      </c>
    </row>
    <row r="42" spans="1:7" x14ac:dyDescent="0.35">
      <c r="A42">
        <v>41</v>
      </c>
      <c r="B42" t="s">
        <v>35</v>
      </c>
      <c r="C42" t="s">
        <v>29</v>
      </c>
      <c r="D42">
        <f>COUNTIFS('Data Penerima'!$B$2:$B$558,B42,'Data Penerima'!$D$2:$D$558,C42,'Data Penerima'!$F$2:$F$558,"?*")</f>
        <v>0</v>
      </c>
      <c r="E42">
        <f>SUMIFS('Data Penerima'!$J$2:$J$558,'Data Penerima'!$B$2:$B$558,B42,'Data Penerima'!$D$2:$D$558,C42)</f>
        <v>0</v>
      </c>
      <c r="F42" s="25">
        <f>SUMIFS('Data Penerima'!$K$2:$K$558,'Data Penerima'!$B$2:$B$558,B42,'Data Penerima'!$D$2:$D$558,C42)</f>
        <v>0</v>
      </c>
      <c r="G42">
        <f>SUMIFS('Data Penerima'!$L$2:$L$558,'Data Penerima'!$B$2:$B$558,B42,'Data Penerima'!$D$2:$D$558,C42)</f>
        <v>0</v>
      </c>
    </row>
    <row r="43" spans="1:7" x14ac:dyDescent="0.35">
      <c r="A43">
        <v>42</v>
      </c>
      <c r="B43" t="s">
        <v>35</v>
      </c>
      <c r="C43" t="s">
        <v>30</v>
      </c>
      <c r="D43">
        <f>COUNTIFS('Data Penerima'!$B$2:$B$558,B43,'Data Penerima'!$D$2:$D$558,C43,'Data Penerima'!$F$2:$F$558,"?*")</f>
        <v>8</v>
      </c>
      <c r="E43">
        <f>SUMIFS('Data Penerima'!$J$2:$J$558,'Data Penerima'!$B$2:$B$558,B43,'Data Penerima'!$D$2:$D$558,C43)</f>
        <v>180</v>
      </c>
      <c r="F43" s="25">
        <f>SUMIFS('Data Penerima'!$K$2:$K$558,'Data Penerima'!$B$2:$B$558,B43,'Data Penerima'!$D$2:$D$558,C43)</f>
        <v>240</v>
      </c>
      <c r="G43">
        <f>SUMIFS('Data Penerima'!$L$2:$L$558,'Data Penerima'!$B$2:$B$558,B43,'Data Penerima'!$D$2:$D$558,C43)</f>
        <v>3600</v>
      </c>
    </row>
    <row r="44" spans="1:7" x14ac:dyDescent="0.35">
      <c r="A44">
        <v>43</v>
      </c>
      <c r="B44" t="s">
        <v>35</v>
      </c>
      <c r="C44" t="s">
        <v>31</v>
      </c>
      <c r="D44">
        <f>COUNTIFS('Data Penerima'!$B$2:$B$558,B44,'Data Penerima'!$D$2:$D$558,C44,'Data Penerima'!$F$2:$F$558,"?*")</f>
        <v>25</v>
      </c>
      <c r="E44">
        <f>SUMIFS('Data Penerima'!$J$2:$J$558,'Data Penerima'!$B$2:$B$558,B44,'Data Penerima'!$D$2:$D$558,C44)</f>
        <v>644</v>
      </c>
      <c r="F44" s="25">
        <f>SUMIFS('Data Penerima'!$K$2:$K$558,'Data Penerima'!$B$2:$B$558,B44,'Data Penerima'!$D$2:$D$558,C44)</f>
        <v>218</v>
      </c>
      <c r="G44">
        <f>SUMIFS('Data Penerima'!$L$2:$L$558,'Data Penerima'!$B$2:$B$558,B44,'Data Penerima'!$D$2:$D$558,C44)</f>
        <v>3270</v>
      </c>
    </row>
    <row r="45" spans="1:7" x14ac:dyDescent="0.35">
      <c r="A45">
        <v>44</v>
      </c>
      <c r="B45" t="s">
        <v>35</v>
      </c>
      <c r="C45" t="s">
        <v>32</v>
      </c>
      <c r="D45">
        <f>COUNTIFS('Data Penerima'!$B$2:$B$558,B45,'Data Penerima'!$D$2:$D$558,C45,'Data Penerima'!$F$2:$F$558,"?*")</f>
        <v>30</v>
      </c>
      <c r="E45">
        <f>SUMIFS('Data Penerima'!$J$2:$J$558,'Data Penerima'!$B$2:$B$558,B45,'Data Penerima'!$D$2:$D$558,C45)</f>
        <v>686</v>
      </c>
      <c r="F45" s="25">
        <f>SUMIFS('Data Penerima'!$K$2:$K$558,'Data Penerima'!$B$2:$B$558,B45,'Data Penerima'!$D$2:$D$558,C45)</f>
        <v>505</v>
      </c>
      <c r="G45">
        <f>SUMIFS('Data Penerima'!$L$2:$L$558,'Data Penerima'!$B$2:$B$558,B45,'Data Penerima'!$D$2:$D$558,C45)</f>
        <v>7575</v>
      </c>
    </row>
    <row r="46" spans="1:7" x14ac:dyDescent="0.35">
      <c r="A46">
        <v>45</v>
      </c>
      <c r="B46" t="s">
        <v>35</v>
      </c>
      <c r="C46" t="s">
        <v>33</v>
      </c>
      <c r="D46">
        <f>COUNTIFS('Data Penerima'!$B$2:$B$558,B46,'Data Penerima'!$D$2:$D$558,C46,'Data Penerima'!$F$2:$F$558,"?*")</f>
        <v>17</v>
      </c>
      <c r="E46">
        <f>SUMIFS('Data Penerima'!$J$2:$J$558,'Data Penerima'!$B$2:$B$558,B46,'Data Penerima'!$D$2:$D$558,C46)</f>
        <v>364</v>
      </c>
      <c r="F46" s="25">
        <f>SUMIFS('Data Penerima'!$K$2:$K$558,'Data Penerima'!$B$2:$B$558,B46,'Data Penerima'!$D$2:$D$558,C46)</f>
        <v>257</v>
      </c>
      <c r="G46">
        <f>SUMIFS('Data Penerima'!$L$2:$L$558,'Data Penerima'!$B$2:$B$558,B46,'Data Penerima'!$D$2:$D$558,C46)</f>
        <v>3855</v>
      </c>
    </row>
    <row r="47" spans="1:7" x14ac:dyDescent="0.35">
      <c r="A47">
        <v>46</v>
      </c>
      <c r="B47" s="19" t="s">
        <v>1197</v>
      </c>
      <c r="C47" t="s">
        <v>19</v>
      </c>
      <c r="D47">
        <f>COUNTIFS('Data Penerima'!$B$2:$B$558,B47,'Data Penerima'!$D$2:$D$558,C47,'Data Penerima'!$F$2:$F$558,"?*")</f>
        <v>0</v>
      </c>
      <c r="E47">
        <f>SUMIFS('Data Penerima'!$J$2:$J$558,'Data Penerima'!$B$2:$B$558,B47,'Data Penerima'!$D$2:$D$558,C47)</f>
        <v>0</v>
      </c>
      <c r="F47" s="25">
        <f>SUMIFS('Data Penerima'!$K$2:$K$558,'Data Penerima'!$B$2:$B$558,B47,'Data Penerima'!$D$2:$D$558,C47)</f>
        <v>0</v>
      </c>
      <c r="G47">
        <f>SUMIFS('Data Penerima'!$L$2:$L$558,'Data Penerima'!$B$2:$B$558,B47,'Data Penerima'!$D$2:$D$558,C47)</f>
        <v>0</v>
      </c>
    </row>
    <row r="48" spans="1:7" x14ac:dyDescent="0.35">
      <c r="A48">
        <v>47</v>
      </c>
      <c r="B48" s="19" t="s">
        <v>1197</v>
      </c>
      <c r="C48" t="s">
        <v>20</v>
      </c>
      <c r="D48">
        <f>COUNTIFS('Data Penerima'!$B$2:$B$558,B48,'Data Penerima'!$D$2:$D$558,C48,'Data Penerima'!$F$2:$F$558,"?*")</f>
        <v>0</v>
      </c>
      <c r="E48">
        <f>SUMIFS('Data Penerima'!$J$2:$J$558,'Data Penerima'!$B$2:$B$558,B48,'Data Penerima'!$D$2:$D$558,C48)</f>
        <v>1</v>
      </c>
      <c r="F48" s="25">
        <f>SUMIFS('Data Penerima'!$K$2:$K$558,'Data Penerima'!$B$2:$B$558,B48,'Data Penerima'!$D$2:$D$558,C48)</f>
        <v>1</v>
      </c>
      <c r="G48">
        <f>SUMIFS('Data Penerima'!$L$2:$L$558,'Data Penerima'!$B$2:$B$558,B48,'Data Penerima'!$D$2:$D$558,C48)</f>
        <v>15</v>
      </c>
    </row>
    <row r="49" spans="1:7" x14ac:dyDescent="0.35">
      <c r="A49">
        <v>48</v>
      </c>
      <c r="B49" s="19" t="s">
        <v>1197</v>
      </c>
      <c r="C49" t="s">
        <v>21</v>
      </c>
      <c r="D49">
        <f>COUNTIFS('Data Penerima'!$B$2:$B$558,B49,'Data Penerima'!$D$2:$D$558,C49,'Data Penerima'!$F$2:$F$558,"?*")</f>
        <v>0</v>
      </c>
      <c r="E49">
        <f>SUMIFS('Data Penerima'!$J$2:$J$558,'Data Penerima'!$B$2:$B$558,B49,'Data Penerima'!$D$2:$D$558,C49)</f>
        <v>0</v>
      </c>
      <c r="F49" s="25">
        <f>SUMIFS('Data Penerima'!$K$2:$K$558,'Data Penerima'!$B$2:$B$558,B49,'Data Penerima'!$D$2:$D$558,C49)</f>
        <v>0</v>
      </c>
      <c r="G49">
        <f>SUMIFS('Data Penerima'!$L$2:$L$558,'Data Penerima'!$B$2:$B$558,B49,'Data Penerima'!$D$2:$D$558,C49)</f>
        <v>0</v>
      </c>
    </row>
    <row r="50" spans="1:7" x14ac:dyDescent="0.35">
      <c r="A50">
        <v>49</v>
      </c>
      <c r="B50" s="19" t="s">
        <v>1197</v>
      </c>
      <c r="C50" t="s">
        <v>22</v>
      </c>
      <c r="D50">
        <f>COUNTIFS('Data Penerima'!$B$2:$B$558,B50,'Data Penerima'!$D$2:$D$558,C50,'Data Penerima'!$F$2:$F$558,"?*")</f>
        <v>0</v>
      </c>
      <c r="E50">
        <f>SUMIFS('Data Penerima'!$J$2:$J$558,'Data Penerima'!$B$2:$B$558,B50,'Data Penerima'!$D$2:$D$558,C50)</f>
        <v>0</v>
      </c>
      <c r="F50" s="25">
        <f>SUMIFS('Data Penerima'!$K$2:$K$558,'Data Penerima'!$B$2:$B$558,B50,'Data Penerima'!$D$2:$D$558,C50)</f>
        <v>0</v>
      </c>
      <c r="G50">
        <f>SUMIFS('Data Penerima'!$L$2:$L$558,'Data Penerima'!$B$2:$B$558,B50,'Data Penerima'!$D$2:$D$558,C50)</f>
        <v>0</v>
      </c>
    </row>
    <row r="51" spans="1:7" x14ac:dyDescent="0.35">
      <c r="A51">
        <v>50</v>
      </c>
      <c r="B51" s="19" t="s">
        <v>1197</v>
      </c>
      <c r="C51" t="s">
        <v>23</v>
      </c>
      <c r="D51">
        <f>COUNTIFS('Data Penerima'!$B$2:$B$558,B51,'Data Penerima'!$D$2:$D$558,C51,'Data Penerima'!$F$2:$F$558,"?*")</f>
        <v>0</v>
      </c>
      <c r="E51">
        <f>SUMIFS('Data Penerima'!$J$2:$J$558,'Data Penerima'!$B$2:$B$558,B51,'Data Penerima'!$D$2:$D$558,C51)</f>
        <v>1</v>
      </c>
      <c r="F51" s="25">
        <f>SUMIFS('Data Penerima'!$K$2:$K$558,'Data Penerima'!$B$2:$B$558,B51,'Data Penerima'!$D$2:$D$558,C51)</f>
        <v>3</v>
      </c>
      <c r="G51">
        <f>SUMIFS('Data Penerima'!$L$2:$L$558,'Data Penerima'!$B$2:$B$558,B51,'Data Penerima'!$D$2:$D$558,C51)</f>
        <v>45</v>
      </c>
    </row>
    <row r="52" spans="1:7" x14ac:dyDescent="0.35">
      <c r="A52">
        <v>51</v>
      </c>
      <c r="B52" s="19" t="s">
        <v>1197</v>
      </c>
      <c r="C52" t="s">
        <v>24</v>
      </c>
      <c r="D52">
        <f>COUNTIFS('Data Penerima'!$B$2:$B$558,B52,'Data Penerima'!$D$2:$D$558,C52,'Data Penerima'!$F$2:$F$558,"?*")</f>
        <v>0</v>
      </c>
      <c r="E52">
        <f>SUMIFS('Data Penerima'!$J$2:$J$558,'Data Penerima'!$B$2:$B$558,B52,'Data Penerima'!$D$2:$D$558,C52)</f>
        <v>6</v>
      </c>
      <c r="F52" s="25">
        <f>SUMIFS('Data Penerima'!$K$2:$K$558,'Data Penerima'!$B$2:$B$558,B52,'Data Penerima'!$D$2:$D$558,C52)</f>
        <v>9.120000000000001</v>
      </c>
      <c r="G52">
        <f>SUMIFS('Data Penerima'!$L$2:$L$558,'Data Penerima'!$B$2:$B$558,B52,'Data Penerima'!$D$2:$D$558,C52)</f>
        <v>136.80000000000001</v>
      </c>
    </row>
    <row r="53" spans="1:7" x14ac:dyDescent="0.35">
      <c r="A53">
        <v>52</v>
      </c>
      <c r="B53" s="19" t="s">
        <v>1197</v>
      </c>
      <c r="C53" t="s">
        <v>25</v>
      </c>
      <c r="D53">
        <f>COUNTIFS('Data Penerima'!$B$2:$B$558,B53,'Data Penerima'!$D$2:$D$558,C53,'Data Penerima'!$F$2:$F$558,"?*")</f>
        <v>0</v>
      </c>
      <c r="E53">
        <f>SUMIFS('Data Penerima'!$J$2:$J$558,'Data Penerima'!$B$2:$B$558,B53,'Data Penerima'!$D$2:$D$558,C53)</f>
        <v>5</v>
      </c>
      <c r="F53" s="25">
        <f>SUMIFS('Data Penerima'!$K$2:$K$558,'Data Penerima'!$B$2:$B$558,B53,'Data Penerima'!$D$2:$D$558,C53)</f>
        <v>15</v>
      </c>
      <c r="G53">
        <f>SUMIFS('Data Penerima'!$L$2:$L$558,'Data Penerima'!$B$2:$B$558,B53,'Data Penerima'!$D$2:$D$558,C53)</f>
        <v>225</v>
      </c>
    </row>
    <row r="54" spans="1:7" x14ac:dyDescent="0.35">
      <c r="A54">
        <v>53</v>
      </c>
      <c r="B54" s="19" t="s">
        <v>1197</v>
      </c>
      <c r="C54" t="s">
        <v>26</v>
      </c>
      <c r="D54">
        <f>COUNTIFS('Data Penerima'!$B$2:$B$558,B54,'Data Penerima'!$D$2:$D$558,C54,'Data Penerima'!$F$2:$F$558,"?*")</f>
        <v>0</v>
      </c>
      <c r="E54">
        <f>SUMIFS('Data Penerima'!$J$2:$J$558,'Data Penerima'!$B$2:$B$558,B54,'Data Penerima'!$D$2:$D$558,C54)</f>
        <v>0</v>
      </c>
      <c r="F54" s="25">
        <f>SUMIFS('Data Penerima'!$K$2:$K$558,'Data Penerima'!$B$2:$B$558,B54,'Data Penerima'!$D$2:$D$558,C54)</f>
        <v>0</v>
      </c>
      <c r="G54">
        <f>SUMIFS('Data Penerima'!$L$2:$L$558,'Data Penerima'!$B$2:$B$558,B54,'Data Penerima'!$D$2:$D$558,C54)</f>
        <v>0</v>
      </c>
    </row>
    <row r="55" spans="1:7" x14ac:dyDescent="0.35">
      <c r="A55">
        <v>54</v>
      </c>
      <c r="B55" s="19" t="s">
        <v>1197</v>
      </c>
      <c r="C55" t="s">
        <v>27</v>
      </c>
      <c r="D55">
        <f>COUNTIFS('Data Penerima'!$B$2:$B$558,B55,'Data Penerima'!$D$2:$D$558,C55,'Data Penerima'!$F$2:$F$558,"?*")</f>
        <v>0</v>
      </c>
      <c r="E55">
        <f>SUMIFS('Data Penerima'!$J$2:$J$558,'Data Penerima'!$B$2:$B$558,B55,'Data Penerima'!$D$2:$D$558,C55)</f>
        <v>1</v>
      </c>
      <c r="F55" s="25">
        <f>SUMIFS('Data Penerima'!$K$2:$K$558,'Data Penerima'!$B$2:$B$558,B55,'Data Penerima'!$D$2:$D$558,C55)</f>
        <v>1</v>
      </c>
      <c r="G55">
        <f>SUMIFS('Data Penerima'!$L$2:$L$558,'Data Penerima'!$B$2:$B$558,B55,'Data Penerima'!$D$2:$D$558,C55)</f>
        <v>15</v>
      </c>
    </row>
    <row r="56" spans="1:7" x14ac:dyDescent="0.35">
      <c r="A56">
        <v>55</v>
      </c>
      <c r="B56" s="19" t="s">
        <v>1197</v>
      </c>
      <c r="C56" t="s">
        <v>28</v>
      </c>
      <c r="D56">
        <f>COUNTIFS('Data Penerima'!$B$2:$B$558,B56,'Data Penerima'!$D$2:$D$558,C56,'Data Penerima'!$F$2:$F$558,"?*")</f>
        <v>0</v>
      </c>
      <c r="E56">
        <f>SUMIFS('Data Penerima'!$J$2:$J$558,'Data Penerima'!$B$2:$B$558,B56,'Data Penerima'!$D$2:$D$558,C56)</f>
        <v>6</v>
      </c>
      <c r="F56" s="25">
        <f>SUMIFS('Data Penerima'!$K$2:$K$558,'Data Penerima'!$B$2:$B$558,B56,'Data Penerima'!$D$2:$D$558,C56)</f>
        <v>11</v>
      </c>
      <c r="G56">
        <f>SUMIFS('Data Penerima'!$L$2:$L$558,'Data Penerima'!$B$2:$B$558,B56,'Data Penerima'!$D$2:$D$558,C56)</f>
        <v>165</v>
      </c>
    </row>
    <row r="57" spans="1:7" x14ac:dyDescent="0.35">
      <c r="A57">
        <v>56</v>
      </c>
      <c r="B57" s="19" t="s">
        <v>1197</v>
      </c>
      <c r="C57" t="s">
        <v>29</v>
      </c>
      <c r="D57">
        <f>COUNTIFS('Data Penerima'!$B$2:$B$558,B57,'Data Penerima'!$D$2:$D$558,C57,'Data Penerima'!$F$2:$F$558,"?*")</f>
        <v>0</v>
      </c>
      <c r="E57">
        <f>SUMIFS('Data Penerima'!$J$2:$J$558,'Data Penerima'!$B$2:$B$558,B57,'Data Penerima'!$D$2:$D$558,C57)</f>
        <v>0</v>
      </c>
      <c r="F57" s="25">
        <f>SUMIFS('Data Penerima'!$K$2:$K$558,'Data Penerima'!$B$2:$B$558,B57,'Data Penerima'!$D$2:$D$558,C57)</f>
        <v>0</v>
      </c>
      <c r="G57">
        <f>SUMIFS('Data Penerima'!$L$2:$L$558,'Data Penerima'!$B$2:$B$558,B57,'Data Penerima'!$D$2:$D$558,C57)</f>
        <v>0</v>
      </c>
    </row>
    <row r="58" spans="1:7" x14ac:dyDescent="0.35">
      <c r="A58">
        <v>57</v>
      </c>
      <c r="B58" s="19" t="s">
        <v>1197</v>
      </c>
      <c r="C58" t="s">
        <v>30</v>
      </c>
      <c r="D58">
        <f>COUNTIFS('Data Penerima'!$B$2:$B$558,B58,'Data Penerima'!$D$2:$D$558,C58,'Data Penerima'!$F$2:$F$558,"?*")</f>
        <v>0</v>
      </c>
      <c r="E58">
        <f>SUMIFS('Data Penerima'!$J$2:$J$558,'Data Penerima'!$B$2:$B$558,B58,'Data Penerima'!$D$2:$D$558,C58)</f>
        <v>11</v>
      </c>
      <c r="F58" s="25">
        <f>SUMIFS('Data Penerima'!$K$2:$K$558,'Data Penerima'!$B$2:$B$558,B58,'Data Penerima'!$D$2:$D$558,C58)</f>
        <v>58</v>
      </c>
      <c r="G58">
        <f>SUMIFS('Data Penerima'!$L$2:$L$558,'Data Penerima'!$B$2:$B$558,B58,'Data Penerima'!$D$2:$D$558,C58)</f>
        <v>870</v>
      </c>
    </row>
    <row r="59" spans="1:7" x14ac:dyDescent="0.35">
      <c r="A59">
        <v>58</v>
      </c>
      <c r="B59" s="19" t="s">
        <v>1197</v>
      </c>
      <c r="C59" t="s">
        <v>31</v>
      </c>
      <c r="D59">
        <f>COUNTIFS('Data Penerima'!$B$2:$B$558,B59,'Data Penerima'!$D$2:$D$558,C59,'Data Penerima'!$F$2:$F$558,"?*")</f>
        <v>0</v>
      </c>
      <c r="E59">
        <f>SUMIFS('Data Penerima'!$J$2:$J$558,'Data Penerima'!$B$2:$B$558,B59,'Data Penerima'!$D$2:$D$558,C59)</f>
        <v>0</v>
      </c>
      <c r="F59" s="25">
        <f>SUMIFS('Data Penerima'!$K$2:$K$558,'Data Penerima'!$B$2:$B$558,B59,'Data Penerima'!$D$2:$D$558,C59)</f>
        <v>0</v>
      </c>
      <c r="G59">
        <f>SUMIFS('Data Penerima'!$L$2:$L$558,'Data Penerima'!$B$2:$B$558,B59,'Data Penerima'!$D$2:$D$558,C59)</f>
        <v>0</v>
      </c>
    </row>
    <row r="60" spans="1:7" x14ac:dyDescent="0.35">
      <c r="A60">
        <v>59</v>
      </c>
      <c r="B60" s="19" t="s">
        <v>1197</v>
      </c>
      <c r="C60" t="s">
        <v>32</v>
      </c>
      <c r="D60">
        <f>COUNTIFS('Data Penerima'!$B$2:$B$558,B60,'Data Penerima'!$D$2:$D$558,C60,'Data Penerima'!$F$2:$F$558,"?*")</f>
        <v>0</v>
      </c>
      <c r="E60">
        <f>SUMIFS('Data Penerima'!$J$2:$J$558,'Data Penerima'!$B$2:$B$558,B60,'Data Penerima'!$D$2:$D$558,C60)</f>
        <v>60</v>
      </c>
      <c r="F60" s="25">
        <f>SUMIFS('Data Penerima'!$K$2:$K$558,'Data Penerima'!$B$2:$B$558,B60,'Data Penerima'!$D$2:$D$558,C60)</f>
        <v>62.439999999999991</v>
      </c>
      <c r="G60">
        <f>SUMIFS('Data Penerima'!$L$2:$L$558,'Data Penerima'!$B$2:$B$558,B60,'Data Penerima'!$D$2:$D$558,C60)</f>
        <v>936.59999999999991</v>
      </c>
    </row>
    <row r="61" spans="1:7" x14ac:dyDescent="0.35">
      <c r="A61">
        <v>60</v>
      </c>
      <c r="B61" s="19" t="s">
        <v>1197</v>
      </c>
      <c r="C61" t="s">
        <v>33</v>
      </c>
      <c r="D61">
        <f>COUNTIFS('Data Penerima'!$B$2:$B$558,B61,'Data Penerima'!$D$2:$D$558,C61,'Data Penerima'!$F$2:$F$558,"?*")</f>
        <v>0</v>
      </c>
      <c r="E61">
        <f>SUMIFS('Data Penerima'!$J$2:$J$558,'Data Penerima'!$B$2:$B$558,B61,'Data Penerima'!$D$2:$D$558,C61)</f>
        <v>0</v>
      </c>
      <c r="F61" s="25">
        <f>SUMIFS('Data Penerima'!$K$2:$K$558,'Data Penerima'!$B$2:$B$558,B61,'Data Penerima'!$D$2:$D$558,C61)</f>
        <v>0</v>
      </c>
      <c r="G61">
        <f>SUMIFS('Data Penerima'!$L$2:$L$558,'Data Penerima'!$B$2:$B$558,B61,'Data Penerima'!$D$2:$D$558,C61)</f>
        <v>0</v>
      </c>
    </row>
    <row r="62" spans="1:7" x14ac:dyDescent="0.35">
      <c r="C62" s="2" t="s">
        <v>36</v>
      </c>
      <c r="D62" s="32">
        <f>SUM(D2:D61)</f>
        <v>234</v>
      </c>
      <c r="E62" s="32">
        <f t="shared" ref="E62:G62" si="0">SUM(E2:E61)</f>
        <v>5380</v>
      </c>
      <c r="F62" s="30">
        <f t="shared" si="0"/>
        <v>2497.8266666666664</v>
      </c>
      <c r="G62" s="30">
        <f t="shared" si="0"/>
        <v>37468.400000000001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"/>
  <sheetViews>
    <sheetView workbookViewId="0">
      <pane ySplit="1" topLeftCell="A2" activePane="bottomLeft" state="frozen"/>
      <selection pane="bottomLeft" activeCell="A14" sqref="A14"/>
    </sheetView>
  </sheetViews>
  <sheetFormatPr defaultRowHeight="14.5" x14ac:dyDescent="0.35"/>
  <cols>
    <col min="1" max="1" width="8" customWidth="1"/>
    <col min="2" max="2" width="25" customWidth="1"/>
    <col min="3" max="3" width="19" customWidth="1"/>
    <col min="4" max="4" width="16.54296875" customWidth="1"/>
    <col min="5" max="5" width="14.36328125" style="25" customWidth="1"/>
    <col min="6" max="6" width="14.36328125" customWidth="1"/>
    <col min="7" max="7" width="84.08984375" bestFit="1" customWidth="1"/>
    <col min="8" max="8" width="17.6328125" customWidth="1"/>
  </cols>
  <sheetData>
    <row r="1" spans="1:7" ht="38" customHeight="1" x14ac:dyDescent="0.35">
      <c r="A1" s="1" t="s">
        <v>0</v>
      </c>
      <c r="B1" s="1" t="s">
        <v>1</v>
      </c>
      <c r="C1" s="1" t="s">
        <v>14</v>
      </c>
      <c r="D1" s="1" t="s">
        <v>15</v>
      </c>
      <c r="E1" s="24" t="s">
        <v>16</v>
      </c>
      <c r="F1" s="1" t="s">
        <v>17</v>
      </c>
      <c r="G1" s="53" t="s">
        <v>1474</v>
      </c>
    </row>
    <row r="2" spans="1:7" x14ac:dyDescent="0.35">
      <c r="A2">
        <v>1</v>
      </c>
      <c r="B2" t="s">
        <v>18</v>
      </c>
      <c r="C2">
        <f>COUNTIFS('Data Penerima'!$B$2:$B$558,B2,'Data Penerima'!$F$2:$F$558,"?*")</f>
        <v>22</v>
      </c>
      <c r="D2" s="31">
        <f>SUMIF('Data Penerima'!$B$2:$B$558,B2,'Data Penerima'!$J$2:$J$558)</f>
        <v>515</v>
      </c>
      <c r="E2" s="25">
        <f>SUMIF('Data Penerima'!$B$2:$B$558,B2,'Data Penerima'!$K$2:$K$558)</f>
        <v>111.26666666666668</v>
      </c>
      <c r="F2" s="31">
        <f>SUMIF('Data Penerima'!$B$2:$B$558,B2,'Data Penerima'!$L$2:$L$558)</f>
        <v>1670</v>
      </c>
      <c r="G2" s="54" t="s">
        <v>1477</v>
      </c>
    </row>
    <row r="3" spans="1:7" x14ac:dyDescent="0.35">
      <c r="A3">
        <v>2</v>
      </c>
      <c r="B3" t="s">
        <v>34</v>
      </c>
      <c r="C3">
        <f>COUNTIFS('Data Penerima'!$B$2:$B$558,B3,'Data Penerima'!$F$2:$F$558,"?*")</f>
        <v>34</v>
      </c>
      <c r="D3" s="31">
        <f>SUMIF('Data Penerima'!$B$2:$B$558,B3,'Data Penerima'!$J$2:$J$558)</f>
        <v>800</v>
      </c>
      <c r="E3" s="25">
        <f>SUMIF('Data Penerima'!$B$2:$B$558,B3,'Data Penerima'!$K$2:$K$558)</f>
        <v>266</v>
      </c>
      <c r="F3" s="31">
        <f>SUMIF('Data Penerima'!$B$2:$B$558,B3,'Data Penerima'!$L$2:$L$558)</f>
        <v>3990</v>
      </c>
      <c r="G3" s="54" t="s">
        <v>1476</v>
      </c>
    </row>
    <row r="4" spans="1:7" x14ac:dyDescent="0.35">
      <c r="A4">
        <v>3</v>
      </c>
      <c r="B4" t="s">
        <v>35</v>
      </c>
      <c r="C4">
        <f>COUNTIFS('Data Penerima'!$B$2:$B$558,B4,'Data Penerima'!$F$2:$F$558,"?*")</f>
        <v>178</v>
      </c>
      <c r="D4" s="31">
        <f>SUMIF('Data Penerima'!$B$2:$B$558,B4,'Data Penerima'!$J$2:$J$558)</f>
        <v>3974</v>
      </c>
      <c r="E4" s="25">
        <f>SUMIF('Data Penerima'!$B$2:$B$558,B4,'Data Penerima'!$K$2:$K$558)</f>
        <v>1960</v>
      </c>
      <c r="F4" s="31">
        <f>SUMIF('Data Penerima'!$B$2:$B$558,B4,'Data Penerima'!$L$2:$L$558)</f>
        <v>29400</v>
      </c>
      <c r="G4" s="54" t="s">
        <v>1475</v>
      </c>
    </row>
    <row r="5" spans="1:7" x14ac:dyDescent="0.35">
      <c r="A5">
        <v>4</v>
      </c>
      <c r="B5" s="19" t="s">
        <v>1197</v>
      </c>
      <c r="C5">
        <f>COUNTIFS('Data Penerima'!$B$2:$B$558,B5,'Data Penerima'!$F$2:$F$558,"?*")</f>
        <v>0</v>
      </c>
      <c r="D5" s="31">
        <f>SUMIF('Data Penerima'!$B$2:$B$558,B5,'Data Penerima'!$J$2:$J$558)</f>
        <v>91</v>
      </c>
      <c r="E5" s="25">
        <f>SUMIF('Data Penerima'!$B$2:$B$558,B5,'Data Penerima'!$K$2:$K$558)</f>
        <v>160.56</v>
      </c>
      <c r="F5" s="31">
        <f>SUMIF('Data Penerima'!$B$2:$B$558,B5,'Data Penerima'!$L$2:$L$558)</f>
        <v>2408.3999999999996</v>
      </c>
      <c r="G5" s="54" t="s">
        <v>1473</v>
      </c>
    </row>
    <row r="6" spans="1:7" x14ac:dyDescent="0.35">
      <c r="B6" s="2" t="s">
        <v>36</v>
      </c>
      <c r="C6" s="2">
        <f>SUM(C2:C5)</f>
        <v>234</v>
      </c>
      <c r="D6" s="32">
        <f>SUM(D2:D5)</f>
        <v>5380</v>
      </c>
      <c r="E6" s="26">
        <f>SUM(E2:E5)</f>
        <v>2497.8266666666664</v>
      </c>
      <c r="F6" s="26">
        <f>SUM(F2:F5)</f>
        <v>37468.400000000001</v>
      </c>
    </row>
  </sheetData>
  <hyperlinks>
    <hyperlink ref="G5" r:id="rId1" xr:uid="{313548A8-01F5-4D46-AA09-A2991964F18C}"/>
    <hyperlink ref="G4" r:id="rId2" xr:uid="{6257FB9D-3AF1-4FDF-8BE1-79DFC276C172}"/>
    <hyperlink ref="G3" r:id="rId3" xr:uid="{C1E4AAD7-94A3-458B-BB7C-5EB871D5BE91}"/>
    <hyperlink ref="G2" r:id="rId4" xr:uid="{DED356A9-2C31-4076-AB05-9820432F1518}"/>
  </hyperlinks>
  <pageMargins left="0.7" right="0.7" top="0.75" bottom="0.75" header="0.3" footer="0.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60CC-3A9D-4A40-A527-6A0CA47DB871}">
  <dimension ref="A1:X100"/>
  <sheetViews>
    <sheetView topLeftCell="A20" zoomScale="69" workbookViewId="0">
      <selection activeCell="R20" sqref="R20"/>
    </sheetView>
  </sheetViews>
  <sheetFormatPr defaultRowHeight="14.5" x14ac:dyDescent="0.35"/>
  <cols>
    <col min="1" max="1" width="7.1796875" style="3" customWidth="1"/>
    <col min="2" max="2" width="26.36328125" bestFit="1" customWidth="1"/>
    <col min="9" max="14" width="12.1796875" customWidth="1"/>
    <col min="15" max="15" width="11.453125" customWidth="1"/>
  </cols>
  <sheetData>
    <row r="1" spans="1:15" x14ac:dyDescent="0.35">
      <c r="A1" s="55" t="s">
        <v>1478</v>
      </c>
    </row>
    <row r="2" spans="1:15" ht="15" thickBot="1" x14ac:dyDescent="0.4">
      <c r="A2" s="55"/>
    </row>
    <row r="3" spans="1:15" x14ac:dyDescent="0.35">
      <c r="A3" s="56" t="s">
        <v>0</v>
      </c>
      <c r="B3" s="57" t="s">
        <v>2</v>
      </c>
      <c r="C3" s="58">
        <v>2025</v>
      </c>
      <c r="D3" s="58"/>
      <c r="E3" s="58"/>
      <c r="F3" s="97">
        <v>2026</v>
      </c>
      <c r="G3" s="98"/>
      <c r="H3" s="98"/>
      <c r="I3" s="98"/>
      <c r="J3" s="98"/>
      <c r="K3" s="98"/>
      <c r="L3" s="98"/>
      <c r="M3" s="98"/>
      <c r="N3" s="99"/>
      <c r="O3" s="59" t="s">
        <v>1479</v>
      </c>
    </row>
    <row r="4" spans="1:15" x14ac:dyDescent="0.35">
      <c r="A4" s="60"/>
      <c r="B4" s="61"/>
      <c r="C4" s="62" t="s">
        <v>1480</v>
      </c>
      <c r="D4" s="62" t="s">
        <v>1481</v>
      </c>
      <c r="E4" s="62" t="s">
        <v>1482</v>
      </c>
      <c r="F4" s="62" t="s">
        <v>1483</v>
      </c>
      <c r="G4" s="62" t="s">
        <v>1484</v>
      </c>
      <c r="H4" s="62" t="s">
        <v>1485</v>
      </c>
      <c r="I4" s="62" t="s">
        <v>1486</v>
      </c>
      <c r="J4" s="62" t="s">
        <v>1487</v>
      </c>
      <c r="K4" s="62" t="s">
        <v>1488</v>
      </c>
      <c r="L4" s="62" t="s">
        <v>1489</v>
      </c>
      <c r="M4" s="62" t="s">
        <v>1490</v>
      </c>
      <c r="N4" s="62" t="s">
        <v>1491</v>
      </c>
      <c r="O4" s="63"/>
    </row>
    <row r="5" spans="1:15" x14ac:dyDescent="0.35">
      <c r="A5" s="64">
        <v>1</v>
      </c>
      <c r="B5" s="65" t="s">
        <v>1492</v>
      </c>
      <c r="C5" s="66">
        <v>7.0633166688302031</v>
      </c>
      <c r="D5" s="66">
        <v>14.126633337660406</v>
      </c>
      <c r="E5" s="66">
        <v>7.0633166688302031</v>
      </c>
      <c r="F5" s="66">
        <v>7.0633166688302031</v>
      </c>
      <c r="G5" s="66">
        <v>7.0633166688302031</v>
      </c>
      <c r="H5" s="66">
        <v>7.0633166688302031</v>
      </c>
      <c r="I5" s="66">
        <v>7.0633166688302031</v>
      </c>
      <c r="J5" s="66">
        <v>5.6506533350641632</v>
      </c>
      <c r="K5" s="66">
        <v>7.0633166688302031</v>
      </c>
      <c r="L5" s="66">
        <v>32.491256676618939</v>
      </c>
      <c r="M5" s="66">
        <v>7.0633166688302031</v>
      </c>
      <c r="N5" s="66">
        <v>14.126633337660406</v>
      </c>
      <c r="O5" s="67">
        <f>SUM(C5:N5)</f>
        <v>122.90171003764554</v>
      </c>
    </row>
    <row r="6" spans="1:15" x14ac:dyDescent="0.35">
      <c r="A6" s="64">
        <v>2</v>
      </c>
      <c r="B6" s="65" t="s">
        <v>1493</v>
      </c>
      <c r="C6" s="66">
        <v>0</v>
      </c>
      <c r="D6" s="66">
        <v>18.36462333895853</v>
      </c>
      <c r="E6" s="66">
        <v>21.189950006490612</v>
      </c>
      <c r="F6" s="66">
        <v>5.6506533350641623</v>
      </c>
      <c r="G6" s="66">
        <v>2.8253266675320812</v>
      </c>
      <c r="H6" s="66">
        <v>0</v>
      </c>
      <c r="I6" s="66">
        <v>4.2379900012981215</v>
      </c>
      <c r="J6" s="66">
        <v>0</v>
      </c>
      <c r="K6" s="66">
        <v>0</v>
      </c>
      <c r="L6" s="66">
        <v>7.0633166688302031</v>
      </c>
      <c r="M6" s="66">
        <v>2.8253266675320812</v>
      </c>
      <c r="N6" s="66">
        <v>7.0633166688302031</v>
      </c>
      <c r="O6" s="67">
        <f t="shared" ref="O6:O19" si="0">SUM(C6:N6)</f>
        <v>69.220503354535992</v>
      </c>
    </row>
    <row r="7" spans="1:15" x14ac:dyDescent="0.35">
      <c r="A7" s="64">
        <v>3</v>
      </c>
      <c r="B7" s="65" t="s">
        <v>1494</v>
      </c>
      <c r="C7" s="66">
        <v>218.9628167337363</v>
      </c>
      <c r="D7" s="66">
        <v>275.46935008437794</v>
      </c>
      <c r="E7" s="66">
        <v>125.72703670517762</v>
      </c>
      <c r="F7" s="66">
        <v>122.90171003764553</v>
      </c>
      <c r="G7" s="66">
        <v>240.15276674022692</v>
      </c>
      <c r="H7" s="66">
        <v>226.0261334025665</v>
      </c>
      <c r="I7" s="66">
        <v>91.823116694792645</v>
      </c>
      <c r="J7" s="66">
        <v>103.12442336492097</v>
      </c>
      <c r="K7" s="66">
        <v>0</v>
      </c>
      <c r="L7" s="66">
        <v>91.823116694792645</v>
      </c>
      <c r="M7" s="66">
        <v>125.72703670517762</v>
      </c>
      <c r="N7" s="66">
        <v>230.26412340386463</v>
      </c>
      <c r="O7" s="67">
        <f t="shared" si="0"/>
        <v>1852.0016305672791</v>
      </c>
    </row>
    <row r="8" spans="1:15" x14ac:dyDescent="0.35">
      <c r="A8" s="64">
        <v>4</v>
      </c>
      <c r="B8" s="65" t="s">
        <v>1495</v>
      </c>
      <c r="C8" s="66">
        <v>2.8253266675320816</v>
      </c>
      <c r="D8" s="66">
        <v>2.8253266675320816</v>
      </c>
      <c r="E8" s="66">
        <v>2.8253266675320816</v>
      </c>
      <c r="F8" s="66">
        <v>2.8253266675320816</v>
      </c>
      <c r="G8" s="66">
        <v>2.8253266675320816</v>
      </c>
      <c r="H8" s="66">
        <v>2.8253266675320816</v>
      </c>
      <c r="I8" s="66">
        <v>2.8253266675320816</v>
      </c>
      <c r="J8" s="66">
        <v>2.8253266675320816</v>
      </c>
      <c r="K8" s="66">
        <v>2.8253266675320816</v>
      </c>
      <c r="L8" s="66">
        <v>2.8253266675320816</v>
      </c>
      <c r="M8" s="66">
        <v>2.8253266675320816</v>
      </c>
      <c r="N8" s="66">
        <v>2.8253266675320816</v>
      </c>
      <c r="O8" s="67">
        <f t="shared" si="0"/>
        <v>33.903920010384979</v>
      </c>
    </row>
    <row r="9" spans="1:15" x14ac:dyDescent="0.35">
      <c r="A9" s="64">
        <v>5</v>
      </c>
      <c r="B9" s="65" t="s">
        <v>1496</v>
      </c>
      <c r="C9" s="66">
        <v>1.4126633337660406</v>
      </c>
      <c r="D9" s="66">
        <v>1.4126633337660406</v>
      </c>
      <c r="E9" s="66">
        <v>1.4126633337660406</v>
      </c>
      <c r="F9" s="66">
        <v>1.4126633337660406</v>
      </c>
      <c r="G9" s="66">
        <v>2.8253266675320812</v>
      </c>
      <c r="H9" s="66">
        <v>1.4126633337660406</v>
      </c>
      <c r="I9" s="66">
        <v>0</v>
      </c>
      <c r="J9" s="66">
        <v>1.4126633337660406</v>
      </c>
      <c r="K9" s="66">
        <v>1.4126633337660406</v>
      </c>
      <c r="L9" s="66">
        <v>2.8253266675320812</v>
      </c>
      <c r="M9" s="66">
        <v>2.8253266675320812</v>
      </c>
      <c r="N9" s="66">
        <v>1.4126633337660406</v>
      </c>
      <c r="O9" s="67">
        <f t="shared" si="0"/>
        <v>19.777286672724568</v>
      </c>
    </row>
    <row r="10" spans="1:15" x14ac:dyDescent="0.35">
      <c r="A10" s="64">
        <v>6</v>
      </c>
      <c r="B10" s="65" t="s">
        <v>1497</v>
      </c>
      <c r="C10" s="66">
        <v>0</v>
      </c>
      <c r="D10" s="66">
        <v>50.855880015577469</v>
      </c>
      <c r="E10" s="66">
        <v>28.253266675320816</v>
      </c>
      <c r="F10" s="66">
        <v>53.681206683109544</v>
      </c>
      <c r="G10" s="66">
        <v>48.03055334804538</v>
      </c>
      <c r="H10" s="66">
        <v>1.4126633337660408</v>
      </c>
      <c r="I10" s="66">
        <v>2.8253266675320816</v>
      </c>
      <c r="J10" s="66">
        <v>21.189950006490612</v>
      </c>
      <c r="K10" s="66">
        <v>50.855880015577469</v>
      </c>
      <c r="L10" s="66">
        <v>0</v>
      </c>
      <c r="M10" s="66">
        <v>14.126633337660408</v>
      </c>
      <c r="N10" s="66">
        <v>35.31658334415102</v>
      </c>
      <c r="O10" s="67">
        <f t="shared" si="0"/>
        <v>306.54794342723079</v>
      </c>
    </row>
    <row r="11" spans="1:15" x14ac:dyDescent="0.35">
      <c r="A11" s="64">
        <v>7</v>
      </c>
      <c r="B11" s="65" t="s">
        <v>1498</v>
      </c>
      <c r="C11" s="66">
        <v>1.4126633337660406</v>
      </c>
      <c r="D11" s="66">
        <v>1.4126633337660406</v>
      </c>
      <c r="E11" s="66">
        <v>1.4126633337660406</v>
      </c>
      <c r="F11" s="66">
        <v>1.4126633337660406</v>
      </c>
      <c r="G11" s="66">
        <v>1.4126633337660406</v>
      </c>
      <c r="H11" s="66">
        <v>1.4126633337660406</v>
      </c>
      <c r="I11" s="66">
        <v>1.4126633337660406</v>
      </c>
      <c r="J11" s="66">
        <v>1.4126633337660406</v>
      </c>
      <c r="K11" s="66">
        <v>0</v>
      </c>
      <c r="L11" s="66">
        <v>1.4126633337660406</v>
      </c>
      <c r="M11" s="66">
        <v>1.4126633337660406</v>
      </c>
      <c r="N11" s="66">
        <v>1.4126633337660406</v>
      </c>
      <c r="O11" s="67">
        <f t="shared" si="0"/>
        <v>15.539296671426447</v>
      </c>
    </row>
    <row r="12" spans="1:15" x14ac:dyDescent="0.35">
      <c r="A12" s="64">
        <v>8</v>
      </c>
      <c r="B12" s="65" t="s">
        <v>1499</v>
      </c>
      <c r="C12" s="66">
        <v>141.26633337660408</v>
      </c>
      <c r="D12" s="66">
        <v>70.63316668830204</v>
      </c>
      <c r="E12" s="66">
        <v>22.602613340256653</v>
      </c>
      <c r="F12" s="66">
        <v>25.427940007788735</v>
      </c>
      <c r="G12" s="66">
        <v>52.26854334934351</v>
      </c>
      <c r="H12" s="66">
        <v>39.554573345449143</v>
      </c>
      <c r="I12" s="66">
        <v>18.36462333895853</v>
      </c>
      <c r="J12" s="66">
        <v>36.729246677917061</v>
      </c>
      <c r="K12" s="66">
        <v>14.126633337660408</v>
      </c>
      <c r="L12" s="66">
        <v>14.126633337660408</v>
      </c>
      <c r="M12" s="66">
        <v>14.126633337660408</v>
      </c>
      <c r="N12" s="66">
        <v>70.63316668830204</v>
      </c>
      <c r="O12" s="67">
        <f t="shared" si="0"/>
        <v>519.86010682590302</v>
      </c>
    </row>
    <row r="13" spans="1:15" x14ac:dyDescent="0.35">
      <c r="A13" s="64">
        <v>9</v>
      </c>
      <c r="B13" s="65" t="s">
        <v>1500</v>
      </c>
      <c r="C13" s="66">
        <v>14.126633337660408</v>
      </c>
      <c r="D13" s="66">
        <v>14.126633337660408</v>
      </c>
      <c r="E13" s="66">
        <v>14.126633337660408</v>
      </c>
      <c r="F13" s="66">
        <v>7.063316668830204</v>
      </c>
      <c r="G13" s="66">
        <v>56.506533350641632</v>
      </c>
      <c r="H13" s="66">
        <v>35.31658334415102</v>
      </c>
      <c r="I13" s="66">
        <v>0</v>
      </c>
      <c r="J13" s="66">
        <v>12.713970003894365</v>
      </c>
      <c r="K13" s="66">
        <v>2.8253266675320816</v>
      </c>
      <c r="L13" s="66">
        <v>26.840603341554775</v>
      </c>
      <c r="M13" s="66">
        <v>28.253266675320816</v>
      </c>
      <c r="N13" s="66">
        <v>21.189950006490612</v>
      </c>
      <c r="O13" s="67">
        <f t="shared" si="0"/>
        <v>233.08945007139675</v>
      </c>
    </row>
    <row r="14" spans="1:15" x14ac:dyDescent="0.35">
      <c r="A14" s="64">
        <v>10</v>
      </c>
      <c r="B14" s="65" t="s">
        <v>1501</v>
      </c>
      <c r="C14" s="66">
        <v>7.063316668830204</v>
      </c>
      <c r="D14" s="66">
        <v>14.126633337660408</v>
      </c>
      <c r="E14" s="66">
        <v>8.4759800025962448</v>
      </c>
      <c r="F14" s="66">
        <v>14.126633337660408</v>
      </c>
      <c r="G14" s="66">
        <v>14.126633337660408</v>
      </c>
      <c r="H14" s="66">
        <v>7.063316668830204</v>
      </c>
      <c r="I14" s="68">
        <v>7.063316668830204</v>
      </c>
      <c r="J14" s="68">
        <v>9.8886433363622857</v>
      </c>
      <c r="K14" s="68">
        <v>9.8886433363622857</v>
      </c>
      <c r="L14" s="68">
        <v>7.063316668830204</v>
      </c>
      <c r="M14" s="68">
        <v>7.063316668830204</v>
      </c>
      <c r="N14" s="68">
        <v>7.7696483357132244</v>
      </c>
      <c r="O14" s="67">
        <f t="shared" si="0"/>
        <v>113.7193983681663</v>
      </c>
    </row>
    <row r="15" spans="1:15" x14ac:dyDescent="0.35">
      <c r="A15" s="64">
        <v>11</v>
      </c>
      <c r="B15" s="65" t="s">
        <v>1502</v>
      </c>
      <c r="C15" s="66">
        <v>0</v>
      </c>
      <c r="D15" s="66">
        <v>0</v>
      </c>
      <c r="E15" s="66">
        <v>0</v>
      </c>
      <c r="F15" s="66">
        <v>0</v>
      </c>
      <c r="G15" s="66">
        <v>0.7063316668830204</v>
      </c>
      <c r="H15" s="66">
        <v>7.063316668830204</v>
      </c>
      <c r="I15" s="66">
        <v>1.4126633337660408</v>
      </c>
      <c r="J15" s="66">
        <v>15.539296671426449</v>
      </c>
      <c r="K15" s="66">
        <v>0</v>
      </c>
      <c r="L15" s="66">
        <v>11.301306670128326</v>
      </c>
      <c r="M15" s="66">
        <v>0</v>
      </c>
      <c r="N15" s="66">
        <v>31.078593342852898</v>
      </c>
      <c r="O15" s="67">
        <f t="shared" si="0"/>
        <v>67.101508353886942</v>
      </c>
    </row>
    <row r="16" spans="1:15" x14ac:dyDescent="0.35">
      <c r="A16" s="64">
        <v>12</v>
      </c>
      <c r="B16" s="65" t="s">
        <v>1503</v>
      </c>
      <c r="C16" s="66">
        <v>2.8253266675320812</v>
      </c>
      <c r="D16" s="66">
        <v>6.3569850019471827</v>
      </c>
      <c r="E16" s="66">
        <v>5.6506533350641623</v>
      </c>
      <c r="F16" s="66">
        <v>13.420301670777386</v>
      </c>
      <c r="G16" s="66">
        <v>2.8253266675320812</v>
      </c>
      <c r="H16" s="66">
        <v>2.8253266675320812</v>
      </c>
      <c r="I16" s="66">
        <v>18.36462333895853</v>
      </c>
      <c r="J16" s="66">
        <v>0.70633166688302029</v>
      </c>
      <c r="K16" s="66">
        <v>11.145913703414061</v>
      </c>
      <c r="L16" s="66">
        <v>21.543115839932121</v>
      </c>
      <c r="M16" s="66">
        <v>8.1510674358300541</v>
      </c>
      <c r="N16" s="66">
        <v>21.189950006490609</v>
      </c>
      <c r="O16" s="67">
        <f t="shared" si="0"/>
        <v>115.00492200189336</v>
      </c>
    </row>
    <row r="17" spans="1:24" x14ac:dyDescent="0.35">
      <c r="A17" s="64">
        <v>13</v>
      </c>
      <c r="B17" s="65" t="s">
        <v>1504</v>
      </c>
      <c r="C17" s="69">
        <v>7.063316668830204</v>
      </c>
      <c r="D17" s="69">
        <v>5.6506533350641632</v>
      </c>
      <c r="E17" s="69">
        <v>4.2379900012981224</v>
      </c>
      <c r="F17" s="69">
        <v>16.95196000519249</v>
      </c>
      <c r="G17" s="69">
        <v>7.063316668830204</v>
      </c>
      <c r="H17" s="69">
        <v>5.6506533350641632</v>
      </c>
      <c r="I17" s="69">
        <v>15.539296671426449</v>
      </c>
      <c r="J17" s="69">
        <v>2.8253266675320816</v>
      </c>
      <c r="K17" s="69">
        <v>2.8253266675320816</v>
      </c>
      <c r="L17" s="69">
        <v>1.4126633337660408</v>
      </c>
      <c r="M17" s="69">
        <v>2.8253266675320816</v>
      </c>
      <c r="N17" s="69">
        <v>4.2379900012981224</v>
      </c>
      <c r="O17" s="67">
        <f t="shared" si="0"/>
        <v>76.283820023366189</v>
      </c>
    </row>
    <row r="18" spans="1:24" x14ac:dyDescent="0.35">
      <c r="A18" s="64">
        <v>14</v>
      </c>
      <c r="B18" s="65" t="s">
        <v>1505</v>
      </c>
      <c r="C18" s="70">
        <v>183.64623338958529</v>
      </c>
      <c r="D18" s="70">
        <v>226.0261334025665</v>
      </c>
      <c r="E18" s="70">
        <v>84.759800025962434</v>
      </c>
      <c r="F18" s="70">
        <v>42.379900012981217</v>
      </c>
      <c r="G18" s="70">
        <v>28.253266675320813</v>
      </c>
      <c r="H18" s="70">
        <v>56.506533350641625</v>
      </c>
      <c r="I18" s="70">
        <v>28.253266675320813</v>
      </c>
      <c r="J18" s="70">
        <v>42.379900012981217</v>
      </c>
      <c r="K18" s="70">
        <v>42.379900012981217</v>
      </c>
      <c r="L18" s="70">
        <v>7.0633166688302031</v>
      </c>
      <c r="M18" s="70">
        <v>7.0633166688302031</v>
      </c>
      <c r="N18" s="70">
        <v>56.506533350641625</v>
      </c>
      <c r="O18" s="67">
        <f t="shared" si="0"/>
        <v>805.21810024664308</v>
      </c>
    </row>
    <row r="19" spans="1:24" x14ac:dyDescent="0.35">
      <c r="A19" s="64">
        <v>15</v>
      </c>
      <c r="B19" s="65" t="s">
        <v>1506</v>
      </c>
      <c r="C19" s="66">
        <v>28.253266675320816</v>
      </c>
      <c r="D19" s="66">
        <v>28.253266675320816</v>
      </c>
      <c r="E19" s="66">
        <v>38.141910011683095</v>
      </c>
      <c r="F19" s="66">
        <v>0</v>
      </c>
      <c r="G19" s="66">
        <v>0</v>
      </c>
      <c r="H19" s="66">
        <v>2.8253266675320812</v>
      </c>
      <c r="I19" s="66">
        <v>0</v>
      </c>
      <c r="J19" s="66">
        <v>7.063316668830204</v>
      </c>
      <c r="K19" s="66">
        <v>0</v>
      </c>
      <c r="L19" s="66">
        <v>0</v>
      </c>
      <c r="M19" s="66">
        <v>2.8253266675320812</v>
      </c>
      <c r="N19" s="66">
        <v>4.2379900012981224</v>
      </c>
      <c r="O19" s="67">
        <f t="shared" si="0"/>
        <v>111.6004033675172</v>
      </c>
    </row>
    <row r="20" spans="1:24" ht="15" thickBot="1" x14ac:dyDescent="0.4">
      <c r="A20" s="71"/>
      <c r="B20" s="72" t="s">
        <v>1507</v>
      </c>
      <c r="C20" s="73">
        <f>SUM(C5:C19)</f>
        <v>615.92121352199376</v>
      </c>
      <c r="D20" s="73">
        <f t="shared" ref="D20:I20" si="1">SUM(D5:D19)</f>
        <v>729.6406118901599</v>
      </c>
      <c r="E20" s="73">
        <f t="shared" si="1"/>
        <v>365.87980344540455</v>
      </c>
      <c r="F20" s="73">
        <f t="shared" si="1"/>
        <v>314.31759176294406</v>
      </c>
      <c r="G20" s="73">
        <f t="shared" si="1"/>
        <v>466.88523180967644</v>
      </c>
      <c r="H20" s="73">
        <f t="shared" si="1"/>
        <v>396.9583967882574</v>
      </c>
      <c r="I20" s="73">
        <f t="shared" si="1"/>
        <v>199.18553006101172</v>
      </c>
      <c r="J20" s="73">
        <f>SUM(J5:J19)</f>
        <v>263.46171174736662</v>
      </c>
      <c r="K20" s="73">
        <f t="shared" ref="K20:L20" si="2">SUM(K5:K19)</f>
        <v>145.34893041118795</v>
      </c>
      <c r="L20" s="73">
        <f t="shared" si="2"/>
        <v>227.79196256977403</v>
      </c>
      <c r="M20" s="73">
        <f>SUM(M5:M19)</f>
        <v>227.11388416956626</v>
      </c>
      <c r="N20" s="73">
        <f t="shared" ref="N20" si="3">SUM(N5:N19)</f>
        <v>509.26513182265762</v>
      </c>
      <c r="O20" s="73">
        <f>SUM(O5:O19)</f>
        <v>4461.7700000000004</v>
      </c>
      <c r="P20" s="74"/>
    </row>
    <row r="22" spans="1:24" ht="15" thickBot="1" x14ac:dyDescent="0.4">
      <c r="A22" s="55" t="s">
        <v>1508</v>
      </c>
    </row>
    <row r="23" spans="1:24" x14ac:dyDescent="0.35">
      <c r="A23" s="56" t="s">
        <v>0</v>
      </c>
      <c r="B23" s="57" t="s">
        <v>2</v>
      </c>
      <c r="C23" s="58">
        <v>2025</v>
      </c>
      <c r="D23" s="58"/>
      <c r="E23" s="58"/>
      <c r="F23" s="58">
        <v>2026</v>
      </c>
      <c r="G23" s="58"/>
      <c r="H23" s="58"/>
      <c r="I23" s="58">
        <v>2026</v>
      </c>
      <c r="J23" s="58"/>
      <c r="K23" s="58"/>
      <c r="L23" s="58"/>
      <c r="M23" s="58"/>
      <c r="N23" s="58"/>
      <c r="O23" s="59" t="s">
        <v>1479</v>
      </c>
    </row>
    <row r="24" spans="1:24" x14ac:dyDescent="0.35">
      <c r="A24" s="60"/>
      <c r="B24" s="61"/>
      <c r="C24" s="62" t="s">
        <v>1480</v>
      </c>
      <c r="D24" s="62" t="s">
        <v>1481</v>
      </c>
      <c r="E24" s="62" t="s">
        <v>1482</v>
      </c>
      <c r="F24" s="62" t="s">
        <v>1483</v>
      </c>
      <c r="G24" s="62" t="s">
        <v>1484</v>
      </c>
      <c r="H24" s="62" t="s">
        <v>1485</v>
      </c>
      <c r="I24" s="62" t="s">
        <v>1486</v>
      </c>
      <c r="J24" s="62" t="s">
        <v>1487</v>
      </c>
      <c r="K24" s="62" t="s">
        <v>1488</v>
      </c>
      <c r="L24" s="62" t="s">
        <v>1489</v>
      </c>
      <c r="M24" s="62" t="s">
        <v>1490</v>
      </c>
      <c r="N24" s="62" t="s">
        <v>1491</v>
      </c>
      <c r="O24" s="63"/>
    </row>
    <row r="25" spans="1:24" x14ac:dyDescent="0.35">
      <c r="A25" s="64">
        <v>1</v>
      </c>
      <c r="B25" s="65" t="s">
        <v>1492</v>
      </c>
      <c r="C25" s="66">
        <v>45</v>
      </c>
      <c r="D25" s="66">
        <v>55</v>
      </c>
      <c r="E25" s="66">
        <v>80</v>
      </c>
      <c r="F25" s="66">
        <v>24</v>
      </c>
      <c r="G25" s="66">
        <v>25</v>
      </c>
      <c r="H25" s="66">
        <v>13</v>
      </c>
      <c r="I25" s="66">
        <v>0</v>
      </c>
      <c r="J25" s="66">
        <v>11.5</v>
      </c>
      <c r="K25" s="66">
        <v>20</v>
      </c>
      <c r="L25" s="66">
        <v>13</v>
      </c>
      <c r="M25" s="66">
        <v>6</v>
      </c>
      <c r="N25" s="66">
        <v>3</v>
      </c>
      <c r="O25" s="75">
        <f>SUM(C25:N25)</f>
        <v>295.5</v>
      </c>
      <c r="S25" s="50"/>
    </row>
    <row r="26" spans="1:24" x14ac:dyDescent="0.35">
      <c r="A26" s="64">
        <v>2</v>
      </c>
      <c r="B26" s="65" t="s">
        <v>1493</v>
      </c>
      <c r="C26" s="66">
        <v>35</v>
      </c>
      <c r="D26" s="66">
        <v>63</v>
      </c>
      <c r="E26" s="66">
        <v>40</v>
      </c>
      <c r="F26" s="66">
        <v>30</v>
      </c>
      <c r="G26" s="66">
        <v>58</v>
      </c>
      <c r="H26" s="66">
        <v>25</v>
      </c>
      <c r="I26" s="66">
        <v>45</v>
      </c>
      <c r="J26" s="66">
        <v>18</v>
      </c>
      <c r="K26" s="66">
        <v>1</v>
      </c>
      <c r="L26" s="66">
        <v>6</v>
      </c>
      <c r="M26" s="66">
        <v>2</v>
      </c>
      <c r="N26" s="66">
        <v>24</v>
      </c>
      <c r="O26" s="75">
        <f t="shared" ref="O26:O39" si="4">SUM(C26:N26)</f>
        <v>347</v>
      </c>
      <c r="S26" s="50"/>
    </row>
    <row r="27" spans="1:24" x14ac:dyDescent="0.35">
      <c r="A27" s="64">
        <v>3</v>
      </c>
      <c r="B27" s="65" t="s">
        <v>1494</v>
      </c>
      <c r="C27" s="66">
        <v>102</v>
      </c>
      <c r="D27" s="66">
        <v>97</v>
      </c>
      <c r="E27" s="66">
        <v>102</v>
      </c>
      <c r="F27" s="66">
        <v>95</v>
      </c>
      <c r="G27" s="66">
        <v>99</v>
      </c>
      <c r="H27" s="66">
        <v>192</v>
      </c>
      <c r="I27" s="66">
        <v>40</v>
      </c>
      <c r="J27" s="66">
        <v>32</v>
      </c>
      <c r="K27" s="66">
        <v>25</v>
      </c>
      <c r="L27" s="66">
        <v>81</v>
      </c>
      <c r="M27" s="66">
        <v>72</v>
      </c>
      <c r="N27" s="66">
        <v>42</v>
      </c>
      <c r="O27" s="75">
        <f t="shared" si="4"/>
        <v>979</v>
      </c>
      <c r="S27" s="50"/>
    </row>
    <row r="28" spans="1:24" x14ac:dyDescent="0.35">
      <c r="A28" s="64">
        <v>4</v>
      </c>
      <c r="B28" s="65" t="s">
        <v>1495</v>
      </c>
      <c r="C28" s="66">
        <v>26</v>
      </c>
      <c r="D28" s="66">
        <v>14</v>
      </c>
      <c r="E28" s="66">
        <v>24</v>
      </c>
      <c r="F28" s="66">
        <v>58</v>
      </c>
      <c r="G28" s="66">
        <v>2</v>
      </c>
      <c r="H28" s="66">
        <v>2</v>
      </c>
      <c r="I28" s="66">
        <v>3</v>
      </c>
      <c r="J28" s="66">
        <v>3</v>
      </c>
      <c r="K28" s="66">
        <v>2</v>
      </c>
      <c r="L28" s="66">
        <v>3</v>
      </c>
      <c r="M28" s="66">
        <v>3</v>
      </c>
      <c r="N28" s="66">
        <v>13</v>
      </c>
      <c r="O28" s="75">
        <f t="shared" si="4"/>
        <v>153</v>
      </c>
      <c r="S28" s="50"/>
    </row>
    <row r="29" spans="1:24" x14ac:dyDescent="0.35">
      <c r="A29" s="64">
        <v>5</v>
      </c>
      <c r="B29" s="65" t="s">
        <v>1496</v>
      </c>
      <c r="C29" s="66">
        <v>32</v>
      </c>
      <c r="D29" s="66">
        <v>31</v>
      </c>
      <c r="E29" s="66">
        <v>20</v>
      </c>
      <c r="F29" s="66">
        <v>40</v>
      </c>
      <c r="G29" s="66">
        <v>10</v>
      </c>
      <c r="H29" s="66">
        <v>1</v>
      </c>
      <c r="I29" s="66">
        <v>3</v>
      </c>
      <c r="J29" s="66">
        <v>0</v>
      </c>
      <c r="K29" s="66">
        <v>0</v>
      </c>
      <c r="L29" s="66">
        <v>1</v>
      </c>
      <c r="M29" s="66">
        <v>3</v>
      </c>
      <c r="N29" s="66">
        <v>6</v>
      </c>
      <c r="O29" s="75">
        <f t="shared" si="4"/>
        <v>147</v>
      </c>
      <c r="P29" s="76"/>
      <c r="Q29" s="76"/>
      <c r="R29" s="76"/>
      <c r="S29" s="50"/>
      <c r="T29" s="76"/>
      <c r="U29" s="76"/>
      <c r="V29" s="76"/>
      <c r="W29" s="76"/>
      <c r="X29" s="50"/>
    </row>
    <row r="30" spans="1:24" x14ac:dyDescent="0.35">
      <c r="A30" s="64">
        <v>6</v>
      </c>
      <c r="B30" s="65" t="s">
        <v>1497</v>
      </c>
      <c r="C30" s="66">
        <v>95</v>
      </c>
      <c r="D30" s="66">
        <v>35</v>
      </c>
      <c r="E30" s="66">
        <v>24</v>
      </c>
      <c r="F30" s="66">
        <v>38</v>
      </c>
      <c r="G30" s="66">
        <v>1</v>
      </c>
      <c r="H30" s="66">
        <v>2</v>
      </c>
      <c r="I30" s="66">
        <v>0</v>
      </c>
      <c r="J30" s="66">
        <v>2</v>
      </c>
      <c r="K30" s="66">
        <v>2</v>
      </c>
      <c r="L30" s="66">
        <v>4</v>
      </c>
      <c r="M30" s="66">
        <v>2</v>
      </c>
      <c r="N30" s="66">
        <v>16</v>
      </c>
      <c r="O30" s="75">
        <f t="shared" si="4"/>
        <v>221</v>
      </c>
      <c r="S30" s="50"/>
    </row>
    <row r="31" spans="1:24" x14ac:dyDescent="0.35">
      <c r="A31" s="64">
        <v>7</v>
      </c>
      <c r="B31" s="65" t="s">
        <v>1498</v>
      </c>
      <c r="C31" s="66">
        <v>10</v>
      </c>
      <c r="D31" s="66">
        <v>20</v>
      </c>
      <c r="E31" s="66">
        <v>10</v>
      </c>
      <c r="F31" s="66">
        <v>1</v>
      </c>
      <c r="G31" s="66">
        <v>6.5</v>
      </c>
      <c r="H31" s="66">
        <v>11.45</v>
      </c>
      <c r="I31" s="66">
        <v>6.65</v>
      </c>
      <c r="J31" s="66">
        <v>4.5</v>
      </c>
      <c r="K31" s="66">
        <v>2</v>
      </c>
      <c r="L31" s="66">
        <v>4</v>
      </c>
      <c r="M31" s="66">
        <v>4</v>
      </c>
      <c r="N31" s="66">
        <v>10</v>
      </c>
      <c r="O31" s="75">
        <f t="shared" si="4"/>
        <v>90.100000000000009</v>
      </c>
      <c r="S31" s="50"/>
    </row>
    <row r="32" spans="1:24" x14ac:dyDescent="0.35">
      <c r="A32" s="64">
        <v>8</v>
      </c>
      <c r="B32" s="65" t="s">
        <v>1499</v>
      </c>
      <c r="C32" s="66">
        <v>15</v>
      </c>
      <c r="D32" s="66">
        <v>40</v>
      </c>
      <c r="E32" s="66">
        <v>10</v>
      </c>
      <c r="F32" s="66">
        <v>0</v>
      </c>
      <c r="G32" s="66">
        <v>4</v>
      </c>
      <c r="H32" s="66">
        <v>0</v>
      </c>
      <c r="I32" s="66">
        <v>10</v>
      </c>
      <c r="J32" s="66">
        <v>8</v>
      </c>
      <c r="K32" s="66">
        <v>10</v>
      </c>
      <c r="L32" s="66">
        <v>4</v>
      </c>
      <c r="M32" s="66">
        <v>0</v>
      </c>
      <c r="N32" s="66">
        <v>3</v>
      </c>
      <c r="O32" s="75">
        <f t="shared" si="4"/>
        <v>104</v>
      </c>
      <c r="S32" s="50"/>
    </row>
    <row r="33" spans="1:19" x14ac:dyDescent="0.35">
      <c r="A33" s="64">
        <v>9</v>
      </c>
      <c r="B33" s="65" t="s">
        <v>1500</v>
      </c>
      <c r="C33" s="66">
        <v>44</v>
      </c>
      <c r="D33" s="66">
        <v>49</v>
      </c>
      <c r="E33" s="66">
        <v>0</v>
      </c>
      <c r="F33" s="66">
        <v>0</v>
      </c>
      <c r="G33" s="66">
        <v>20</v>
      </c>
      <c r="H33" s="66">
        <v>0</v>
      </c>
      <c r="I33" s="66">
        <v>24</v>
      </c>
      <c r="J33" s="66">
        <v>5</v>
      </c>
      <c r="K33" s="66">
        <v>17</v>
      </c>
      <c r="L33" s="66">
        <v>5</v>
      </c>
      <c r="M33" s="66">
        <v>5</v>
      </c>
      <c r="N33" s="66">
        <v>5</v>
      </c>
      <c r="O33" s="75">
        <f t="shared" si="4"/>
        <v>174</v>
      </c>
      <c r="S33" s="50"/>
    </row>
    <row r="34" spans="1:19" x14ac:dyDescent="0.35">
      <c r="A34" s="64">
        <v>10</v>
      </c>
      <c r="B34" s="65" t="s">
        <v>1501</v>
      </c>
      <c r="C34" s="66">
        <v>25</v>
      </c>
      <c r="D34" s="66">
        <v>20</v>
      </c>
      <c r="E34" s="66">
        <v>10</v>
      </c>
      <c r="F34" s="66">
        <v>4</v>
      </c>
      <c r="G34" s="66">
        <v>5</v>
      </c>
      <c r="H34" s="66">
        <v>1</v>
      </c>
      <c r="I34" s="68">
        <v>4</v>
      </c>
      <c r="J34" s="68">
        <v>4</v>
      </c>
      <c r="K34" s="68">
        <v>5</v>
      </c>
      <c r="L34" s="68">
        <v>6</v>
      </c>
      <c r="M34" s="68">
        <v>3</v>
      </c>
      <c r="N34" s="68">
        <v>5</v>
      </c>
      <c r="O34" s="75">
        <f t="shared" si="4"/>
        <v>92</v>
      </c>
      <c r="S34" s="50"/>
    </row>
    <row r="35" spans="1:19" x14ac:dyDescent="0.35">
      <c r="A35" s="64">
        <v>11</v>
      </c>
      <c r="B35" s="65" t="s">
        <v>1502</v>
      </c>
      <c r="C35" s="66">
        <v>65</v>
      </c>
      <c r="D35" s="66">
        <v>40</v>
      </c>
      <c r="E35" s="66">
        <v>0</v>
      </c>
      <c r="F35" s="66">
        <v>0</v>
      </c>
      <c r="G35" s="66">
        <v>6.5</v>
      </c>
      <c r="H35" s="66">
        <v>5.75</v>
      </c>
      <c r="I35" s="66">
        <v>0</v>
      </c>
      <c r="J35" s="66">
        <v>0</v>
      </c>
      <c r="K35" s="66">
        <v>0</v>
      </c>
      <c r="L35" s="66">
        <v>7.25</v>
      </c>
      <c r="M35" s="66">
        <v>0</v>
      </c>
      <c r="N35" s="66">
        <v>0</v>
      </c>
      <c r="O35" s="75">
        <f t="shared" si="4"/>
        <v>124.5</v>
      </c>
      <c r="S35" s="50"/>
    </row>
    <row r="36" spans="1:19" x14ac:dyDescent="0.35">
      <c r="A36" s="64">
        <v>12</v>
      </c>
      <c r="B36" s="65" t="s">
        <v>1503</v>
      </c>
      <c r="C36" s="66">
        <v>79</v>
      </c>
      <c r="D36" s="66">
        <v>48</v>
      </c>
      <c r="E36" s="66">
        <v>55</v>
      </c>
      <c r="F36" s="66">
        <v>20.25</v>
      </c>
      <c r="G36" s="66">
        <v>91.58</v>
      </c>
      <c r="H36" s="66">
        <v>74</v>
      </c>
      <c r="I36" s="66">
        <v>59</v>
      </c>
      <c r="J36" s="66">
        <v>30</v>
      </c>
      <c r="K36" s="66">
        <v>28.7</v>
      </c>
      <c r="L36" s="66">
        <v>19.5</v>
      </c>
      <c r="M36" s="66">
        <v>50.26</v>
      </c>
      <c r="N36" s="66">
        <v>35</v>
      </c>
      <c r="O36" s="75">
        <f t="shared" si="4"/>
        <v>590.29</v>
      </c>
      <c r="S36" s="50"/>
    </row>
    <row r="37" spans="1:19" x14ac:dyDescent="0.35">
      <c r="A37" s="64">
        <v>13</v>
      </c>
      <c r="B37" s="65" t="s">
        <v>1504</v>
      </c>
      <c r="C37" s="69">
        <v>110</v>
      </c>
      <c r="D37" s="69">
        <v>68</v>
      </c>
      <c r="E37" s="69">
        <v>72</v>
      </c>
      <c r="F37" s="69">
        <v>9</v>
      </c>
      <c r="G37" s="69">
        <v>115</v>
      </c>
      <c r="H37" s="69">
        <v>10.5</v>
      </c>
      <c r="I37" s="69">
        <v>69.5</v>
      </c>
      <c r="J37" s="69">
        <v>15</v>
      </c>
      <c r="K37" s="69">
        <v>15</v>
      </c>
      <c r="L37" s="69">
        <v>28</v>
      </c>
      <c r="M37" s="69">
        <v>31</v>
      </c>
      <c r="N37" s="69">
        <v>21</v>
      </c>
      <c r="O37" s="75">
        <f>SUM(C37:N37)</f>
        <v>564</v>
      </c>
      <c r="S37" s="50"/>
    </row>
    <row r="38" spans="1:19" x14ac:dyDescent="0.35">
      <c r="A38" s="64">
        <v>14</v>
      </c>
      <c r="B38" s="65" t="s">
        <v>1505</v>
      </c>
      <c r="C38" s="70">
        <v>150</v>
      </c>
      <c r="D38" s="70">
        <v>165</v>
      </c>
      <c r="E38" s="70">
        <v>108</v>
      </c>
      <c r="F38" s="70">
        <v>5</v>
      </c>
      <c r="G38" s="70">
        <v>10</v>
      </c>
      <c r="H38" s="70">
        <v>5</v>
      </c>
      <c r="I38" s="70">
        <v>5</v>
      </c>
      <c r="J38" s="70">
        <v>29</v>
      </c>
      <c r="K38" s="70">
        <v>10</v>
      </c>
      <c r="L38" s="70">
        <v>5</v>
      </c>
      <c r="M38" s="70">
        <v>20</v>
      </c>
      <c r="N38" s="70">
        <v>10</v>
      </c>
      <c r="O38" s="75">
        <f t="shared" si="4"/>
        <v>522</v>
      </c>
      <c r="S38" s="50"/>
    </row>
    <row r="39" spans="1:19" x14ac:dyDescent="0.35">
      <c r="A39" s="64">
        <v>15</v>
      </c>
      <c r="B39" s="65" t="s">
        <v>1506</v>
      </c>
      <c r="C39" s="66">
        <v>100</v>
      </c>
      <c r="D39" s="66">
        <v>132</v>
      </c>
      <c r="E39" s="66">
        <v>95</v>
      </c>
      <c r="F39" s="66">
        <v>0</v>
      </c>
      <c r="G39" s="66">
        <v>0</v>
      </c>
      <c r="H39" s="66">
        <v>2</v>
      </c>
      <c r="I39" s="66">
        <v>55</v>
      </c>
      <c r="J39" s="66">
        <v>0</v>
      </c>
      <c r="K39" s="66">
        <v>0</v>
      </c>
      <c r="L39" s="66">
        <v>0</v>
      </c>
      <c r="M39" s="66">
        <v>0</v>
      </c>
      <c r="N39" s="66">
        <v>8.5</v>
      </c>
      <c r="O39" s="75">
        <f t="shared" si="4"/>
        <v>392.5</v>
      </c>
      <c r="S39" s="50"/>
    </row>
    <row r="40" spans="1:19" ht="15" thickBot="1" x14ac:dyDescent="0.4">
      <c r="A40" s="71"/>
      <c r="B40" s="72" t="s">
        <v>1507</v>
      </c>
      <c r="C40" s="77">
        <f>SUM(C25:C39)</f>
        <v>933</v>
      </c>
      <c r="D40" s="77">
        <f t="shared" ref="D40:I40" si="5">SUM(D25:D39)</f>
        <v>877</v>
      </c>
      <c r="E40" s="77">
        <f t="shared" si="5"/>
        <v>650</v>
      </c>
      <c r="F40" s="77">
        <f t="shared" si="5"/>
        <v>324.25</v>
      </c>
      <c r="G40" s="77">
        <f t="shared" si="5"/>
        <v>453.58</v>
      </c>
      <c r="H40" s="77">
        <f t="shared" si="5"/>
        <v>344.7</v>
      </c>
      <c r="I40" s="77">
        <f t="shared" si="5"/>
        <v>324.14999999999998</v>
      </c>
      <c r="J40" s="77">
        <f>SUM(J25:J39)</f>
        <v>162</v>
      </c>
      <c r="K40" s="77">
        <f t="shared" ref="K40:L40" si="6">SUM(K25:K39)</f>
        <v>137.69999999999999</v>
      </c>
      <c r="L40" s="77">
        <f t="shared" si="6"/>
        <v>186.75</v>
      </c>
      <c r="M40" s="77">
        <f>SUM(M25:M39)</f>
        <v>201.26</v>
      </c>
      <c r="N40" s="77">
        <f t="shared" ref="N40:O40" si="7">SUM(N25:N39)</f>
        <v>201.5</v>
      </c>
      <c r="O40" s="77">
        <f t="shared" si="7"/>
        <v>4795.8899999999994</v>
      </c>
      <c r="S40" s="50"/>
    </row>
    <row r="41" spans="1:19" x14ac:dyDescent="0.35">
      <c r="M41" t="s">
        <v>1509</v>
      </c>
      <c r="O41" s="78">
        <f>O40-O20</f>
        <v>334.11999999999898</v>
      </c>
      <c r="P41" s="100">
        <f>O40/O20</f>
        <v>1.074885079239853</v>
      </c>
    </row>
    <row r="42" spans="1:19" x14ac:dyDescent="0.35">
      <c r="O42" s="78"/>
    </row>
    <row r="43" spans="1:19" x14ac:dyDescent="0.35">
      <c r="A43" s="111" t="s">
        <v>1526</v>
      </c>
    </row>
    <row r="44" spans="1:19" x14ac:dyDescent="0.35">
      <c r="A44" s="104" t="s">
        <v>0</v>
      </c>
      <c r="B44" s="104" t="s">
        <v>2</v>
      </c>
      <c r="C44" s="104">
        <v>2025</v>
      </c>
      <c r="D44" s="104"/>
      <c r="E44" s="104"/>
      <c r="F44" s="104">
        <v>2026</v>
      </c>
      <c r="G44" s="104"/>
      <c r="H44" s="104"/>
      <c r="I44" s="104">
        <v>2026</v>
      </c>
      <c r="J44" s="104"/>
      <c r="K44" s="104"/>
      <c r="L44" s="104"/>
      <c r="M44" s="104"/>
      <c r="N44" s="104"/>
      <c r="O44" s="105" t="s">
        <v>1479</v>
      </c>
    </row>
    <row r="45" spans="1:19" x14ac:dyDescent="0.35">
      <c r="A45" s="104"/>
      <c r="B45" s="104"/>
      <c r="C45" s="106" t="s">
        <v>1480</v>
      </c>
      <c r="D45" s="106" t="s">
        <v>1481</v>
      </c>
      <c r="E45" s="106" t="s">
        <v>1482</v>
      </c>
      <c r="F45" s="106" t="s">
        <v>1483</v>
      </c>
      <c r="G45" s="106" t="s">
        <v>1484</v>
      </c>
      <c r="H45" s="106" t="s">
        <v>1485</v>
      </c>
      <c r="I45" s="106" t="s">
        <v>1486</v>
      </c>
      <c r="J45" s="106" t="s">
        <v>1487</v>
      </c>
      <c r="K45" s="106" t="s">
        <v>1488</v>
      </c>
      <c r="L45" s="106" t="s">
        <v>1489</v>
      </c>
      <c r="M45" s="106" t="s">
        <v>1490</v>
      </c>
      <c r="N45" s="106" t="s">
        <v>1491</v>
      </c>
      <c r="O45" s="105"/>
    </row>
    <row r="46" spans="1:19" x14ac:dyDescent="0.35">
      <c r="A46" s="107">
        <v>1</v>
      </c>
      <c r="B46" s="83" t="s">
        <v>1492</v>
      </c>
      <c r="C46" s="108">
        <v>0</v>
      </c>
      <c r="D46" s="108">
        <v>0</v>
      </c>
      <c r="E46" s="108">
        <v>25</v>
      </c>
      <c r="F46" s="108">
        <v>13</v>
      </c>
      <c r="G46" s="108">
        <v>17</v>
      </c>
      <c r="H46" s="108">
        <v>50</v>
      </c>
      <c r="I46" s="108">
        <v>0</v>
      </c>
      <c r="J46" s="108">
        <v>0</v>
      </c>
      <c r="K46" s="108">
        <v>0</v>
      </c>
      <c r="L46" s="108">
        <v>0</v>
      </c>
      <c r="M46" s="108">
        <v>0</v>
      </c>
      <c r="N46" s="108">
        <v>0</v>
      </c>
      <c r="O46" s="109">
        <f>SUM(C46:N46)</f>
        <v>105</v>
      </c>
    </row>
    <row r="47" spans="1:19" x14ac:dyDescent="0.35">
      <c r="A47" s="107">
        <v>2</v>
      </c>
      <c r="B47" s="83" t="s">
        <v>1493</v>
      </c>
      <c r="C47" s="108">
        <v>0</v>
      </c>
      <c r="D47" s="108">
        <v>3</v>
      </c>
      <c r="E47" s="108">
        <v>8</v>
      </c>
      <c r="F47" s="108">
        <v>25</v>
      </c>
      <c r="G47" s="108">
        <v>42</v>
      </c>
      <c r="H47" s="108">
        <v>23</v>
      </c>
      <c r="I47" s="108">
        <v>0</v>
      </c>
      <c r="J47" s="108">
        <v>0</v>
      </c>
      <c r="K47" s="108">
        <v>0</v>
      </c>
      <c r="L47" s="108">
        <v>0</v>
      </c>
      <c r="M47" s="108">
        <v>0</v>
      </c>
      <c r="N47" s="108">
        <v>0</v>
      </c>
      <c r="O47" s="109">
        <f t="shared" ref="O47:O60" si="8">SUM(C47:N47)</f>
        <v>101</v>
      </c>
    </row>
    <row r="48" spans="1:19" x14ac:dyDescent="0.35">
      <c r="A48" s="107">
        <v>3</v>
      </c>
      <c r="B48" s="83" t="s">
        <v>1494</v>
      </c>
      <c r="C48" s="108">
        <v>0</v>
      </c>
      <c r="D48" s="108">
        <v>0</v>
      </c>
      <c r="E48" s="108">
        <v>0</v>
      </c>
      <c r="F48" s="108">
        <v>9</v>
      </c>
      <c r="G48" s="108">
        <v>0</v>
      </c>
      <c r="H48" s="108">
        <v>0</v>
      </c>
      <c r="I48" s="108">
        <v>0</v>
      </c>
      <c r="J48" s="108">
        <v>0</v>
      </c>
      <c r="K48" s="108">
        <v>0</v>
      </c>
      <c r="L48" s="108">
        <v>0</v>
      </c>
      <c r="M48" s="108">
        <v>0</v>
      </c>
      <c r="N48" s="108">
        <v>0</v>
      </c>
      <c r="O48" s="109">
        <f t="shared" si="8"/>
        <v>9</v>
      </c>
    </row>
    <row r="49" spans="1:15" x14ac:dyDescent="0.35">
      <c r="A49" s="107">
        <v>4</v>
      </c>
      <c r="B49" s="83" t="s">
        <v>1495</v>
      </c>
      <c r="C49" s="108">
        <v>0</v>
      </c>
      <c r="D49" s="108">
        <v>0</v>
      </c>
      <c r="E49" s="108">
        <v>0</v>
      </c>
      <c r="F49" s="108">
        <v>0</v>
      </c>
      <c r="G49" s="108">
        <v>0</v>
      </c>
      <c r="H49" s="108">
        <v>0</v>
      </c>
      <c r="I49" s="108">
        <v>0</v>
      </c>
      <c r="J49" s="108">
        <v>0</v>
      </c>
      <c r="K49" s="108">
        <v>0</v>
      </c>
      <c r="L49" s="108">
        <v>0</v>
      </c>
      <c r="M49" s="108">
        <v>0</v>
      </c>
      <c r="N49" s="108">
        <v>0</v>
      </c>
      <c r="O49" s="109">
        <f t="shared" si="8"/>
        <v>0</v>
      </c>
    </row>
    <row r="50" spans="1:15" x14ac:dyDescent="0.35">
      <c r="A50" s="107">
        <v>5</v>
      </c>
      <c r="B50" s="83" t="s">
        <v>1496</v>
      </c>
      <c r="C50" s="108">
        <v>0</v>
      </c>
      <c r="D50" s="108">
        <v>0</v>
      </c>
      <c r="E50" s="108">
        <v>0</v>
      </c>
      <c r="F50" s="108">
        <v>0</v>
      </c>
      <c r="G50" s="108">
        <v>0</v>
      </c>
      <c r="H50" s="108">
        <v>0</v>
      </c>
      <c r="I50" s="108">
        <v>0</v>
      </c>
      <c r="J50" s="108">
        <v>0</v>
      </c>
      <c r="K50" s="108">
        <v>0</v>
      </c>
      <c r="L50" s="108">
        <v>0</v>
      </c>
      <c r="M50" s="108">
        <v>0</v>
      </c>
      <c r="N50" s="108">
        <v>0</v>
      </c>
      <c r="O50" s="109">
        <f t="shared" si="8"/>
        <v>0</v>
      </c>
    </row>
    <row r="51" spans="1:15" x14ac:dyDescent="0.35">
      <c r="A51" s="107">
        <v>6</v>
      </c>
      <c r="B51" s="83" t="s">
        <v>1497</v>
      </c>
      <c r="C51" s="108">
        <v>0</v>
      </c>
      <c r="D51" s="108">
        <v>10</v>
      </c>
      <c r="E51" s="108">
        <v>0</v>
      </c>
      <c r="F51" s="108">
        <v>5</v>
      </c>
      <c r="G51" s="108">
        <v>0</v>
      </c>
      <c r="H51" s="108">
        <v>0</v>
      </c>
      <c r="I51" s="108">
        <v>0</v>
      </c>
      <c r="J51" s="108">
        <v>0</v>
      </c>
      <c r="K51" s="108">
        <v>0</v>
      </c>
      <c r="L51" s="108">
        <v>0</v>
      </c>
      <c r="M51" s="108">
        <v>0</v>
      </c>
      <c r="N51" s="108">
        <v>0</v>
      </c>
      <c r="O51" s="109">
        <f t="shared" si="8"/>
        <v>15</v>
      </c>
    </row>
    <row r="52" spans="1:15" x14ac:dyDescent="0.35">
      <c r="A52" s="107">
        <v>7</v>
      </c>
      <c r="B52" s="83" t="s">
        <v>1498</v>
      </c>
      <c r="C52" s="108">
        <v>0</v>
      </c>
      <c r="D52" s="108">
        <v>2</v>
      </c>
      <c r="E52" s="108">
        <v>0</v>
      </c>
      <c r="F52" s="108">
        <v>3</v>
      </c>
      <c r="G52" s="108">
        <v>3</v>
      </c>
      <c r="H52" s="108">
        <v>0</v>
      </c>
      <c r="I52" s="108">
        <v>0</v>
      </c>
      <c r="J52" s="108">
        <v>0</v>
      </c>
      <c r="K52" s="108">
        <v>0</v>
      </c>
      <c r="L52" s="108">
        <v>0</v>
      </c>
      <c r="M52" s="108">
        <v>0</v>
      </c>
      <c r="N52" s="108">
        <v>0</v>
      </c>
      <c r="O52" s="109">
        <f t="shared" si="8"/>
        <v>8</v>
      </c>
    </row>
    <row r="53" spans="1:15" x14ac:dyDescent="0.35">
      <c r="A53" s="107">
        <v>8</v>
      </c>
      <c r="B53" s="83" t="s">
        <v>1499</v>
      </c>
      <c r="C53" s="108">
        <v>0</v>
      </c>
      <c r="D53" s="108">
        <v>0</v>
      </c>
      <c r="E53" s="108">
        <v>0</v>
      </c>
      <c r="F53" s="108">
        <v>7</v>
      </c>
      <c r="G53" s="108">
        <v>21</v>
      </c>
      <c r="H53" s="108">
        <v>0</v>
      </c>
      <c r="I53" s="108">
        <v>0</v>
      </c>
      <c r="J53" s="108">
        <v>0</v>
      </c>
      <c r="K53" s="108">
        <v>0</v>
      </c>
      <c r="L53" s="108">
        <v>0</v>
      </c>
      <c r="M53" s="108">
        <v>0</v>
      </c>
      <c r="N53" s="108">
        <v>0</v>
      </c>
      <c r="O53" s="109">
        <f t="shared" si="8"/>
        <v>28</v>
      </c>
    </row>
    <row r="54" spans="1:15" x14ac:dyDescent="0.35">
      <c r="A54" s="107">
        <v>9</v>
      </c>
      <c r="B54" s="83" t="s">
        <v>1500</v>
      </c>
      <c r="C54" s="108">
        <v>0</v>
      </c>
      <c r="D54" s="108">
        <v>25</v>
      </c>
      <c r="E54" s="108">
        <v>0</v>
      </c>
      <c r="F54" s="108">
        <v>35</v>
      </c>
      <c r="G54" s="108">
        <v>27</v>
      </c>
      <c r="H54" s="108">
        <v>12</v>
      </c>
      <c r="I54" s="108">
        <v>0</v>
      </c>
      <c r="J54" s="108">
        <v>0</v>
      </c>
      <c r="K54" s="108">
        <v>0</v>
      </c>
      <c r="L54" s="108">
        <v>0</v>
      </c>
      <c r="M54" s="108">
        <v>0</v>
      </c>
      <c r="N54" s="108">
        <v>0</v>
      </c>
      <c r="O54" s="109">
        <f t="shared" si="8"/>
        <v>99</v>
      </c>
    </row>
    <row r="55" spans="1:15" x14ac:dyDescent="0.35">
      <c r="A55" s="107">
        <v>10</v>
      </c>
      <c r="B55" s="83" t="s">
        <v>1501</v>
      </c>
      <c r="C55" s="108">
        <v>0</v>
      </c>
      <c r="D55" s="108">
        <v>0.5</v>
      </c>
      <c r="E55" s="108">
        <v>0</v>
      </c>
      <c r="F55" s="108">
        <v>10</v>
      </c>
      <c r="G55" s="108">
        <v>2.5</v>
      </c>
      <c r="H55" s="108">
        <v>0</v>
      </c>
      <c r="I55" s="108">
        <v>0</v>
      </c>
      <c r="J55" s="108">
        <v>0</v>
      </c>
      <c r="K55" s="108">
        <v>0</v>
      </c>
      <c r="L55" s="108">
        <v>0</v>
      </c>
      <c r="M55" s="108">
        <v>0</v>
      </c>
      <c r="N55" s="108">
        <v>0</v>
      </c>
      <c r="O55" s="109">
        <f t="shared" si="8"/>
        <v>13</v>
      </c>
    </row>
    <row r="56" spans="1:15" x14ac:dyDescent="0.35">
      <c r="A56" s="107">
        <v>11</v>
      </c>
      <c r="B56" s="83" t="s">
        <v>1502</v>
      </c>
      <c r="C56" s="108">
        <v>0</v>
      </c>
      <c r="D56" s="108">
        <v>2</v>
      </c>
      <c r="E56" s="108">
        <v>0</v>
      </c>
      <c r="F56" s="108">
        <v>0</v>
      </c>
      <c r="G56" s="108">
        <v>0</v>
      </c>
      <c r="H56" s="108">
        <v>0</v>
      </c>
      <c r="I56" s="108">
        <v>0</v>
      </c>
      <c r="J56" s="108">
        <v>0</v>
      </c>
      <c r="K56" s="108">
        <v>0</v>
      </c>
      <c r="L56" s="108">
        <v>0</v>
      </c>
      <c r="M56" s="108">
        <v>0</v>
      </c>
      <c r="N56" s="108">
        <v>0</v>
      </c>
      <c r="O56" s="109">
        <f t="shared" si="8"/>
        <v>2</v>
      </c>
    </row>
    <row r="57" spans="1:15" x14ac:dyDescent="0.35">
      <c r="A57" s="107">
        <v>12</v>
      </c>
      <c r="B57" s="83" t="s">
        <v>1503</v>
      </c>
      <c r="C57" s="108">
        <v>0</v>
      </c>
      <c r="D57" s="108">
        <v>2</v>
      </c>
      <c r="E57" s="108">
        <v>1</v>
      </c>
      <c r="F57" s="108">
        <v>55</v>
      </c>
      <c r="G57" s="108">
        <v>34</v>
      </c>
      <c r="H57" s="108">
        <v>28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08">
        <v>0</v>
      </c>
      <c r="O57" s="109">
        <f t="shared" si="8"/>
        <v>120</v>
      </c>
    </row>
    <row r="58" spans="1:15" x14ac:dyDescent="0.35">
      <c r="A58" s="107">
        <v>13</v>
      </c>
      <c r="B58" s="83" t="s">
        <v>1504</v>
      </c>
      <c r="C58" s="108">
        <v>0</v>
      </c>
      <c r="D58" s="108">
        <v>1</v>
      </c>
      <c r="E58" s="108">
        <v>0</v>
      </c>
      <c r="F58" s="108">
        <v>52</v>
      </c>
      <c r="G58" s="108">
        <v>31</v>
      </c>
      <c r="H58" s="108">
        <v>15</v>
      </c>
      <c r="I58" s="108">
        <v>0</v>
      </c>
      <c r="J58" s="108">
        <v>0</v>
      </c>
      <c r="K58" s="108">
        <v>0</v>
      </c>
      <c r="L58" s="108">
        <v>0</v>
      </c>
      <c r="M58" s="108">
        <v>0</v>
      </c>
      <c r="N58" s="108">
        <v>0</v>
      </c>
      <c r="O58" s="109">
        <f t="shared" si="8"/>
        <v>99</v>
      </c>
    </row>
    <row r="59" spans="1:15" x14ac:dyDescent="0.35">
      <c r="A59" s="107">
        <v>14</v>
      </c>
      <c r="B59" s="83" t="s">
        <v>1505</v>
      </c>
      <c r="C59" s="108">
        <v>0</v>
      </c>
      <c r="D59" s="108">
        <v>0</v>
      </c>
      <c r="E59" s="108">
        <v>0</v>
      </c>
      <c r="F59" s="108">
        <v>56</v>
      </c>
      <c r="G59" s="108">
        <v>62</v>
      </c>
      <c r="H59" s="108">
        <v>28</v>
      </c>
      <c r="I59" s="108">
        <v>0</v>
      </c>
      <c r="J59" s="108">
        <v>0</v>
      </c>
      <c r="K59" s="108">
        <v>0</v>
      </c>
      <c r="L59" s="108">
        <v>0</v>
      </c>
      <c r="M59" s="108">
        <v>0</v>
      </c>
      <c r="N59" s="108">
        <v>0</v>
      </c>
      <c r="O59" s="109">
        <f t="shared" si="8"/>
        <v>146</v>
      </c>
    </row>
    <row r="60" spans="1:15" x14ac:dyDescent="0.35">
      <c r="A60" s="107">
        <v>15</v>
      </c>
      <c r="B60" s="83" t="s">
        <v>1506</v>
      </c>
      <c r="C60" s="108">
        <v>0</v>
      </c>
      <c r="D60" s="108">
        <v>0</v>
      </c>
      <c r="E60" s="108">
        <v>0</v>
      </c>
      <c r="F60" s="108">
        <v>0</v>
      </c>
      <c r="G60" s="108">
        <v>0</v>
      </c>
      <c r="H60" s="108">
        <v>0</v>
      </c>
      <c r="I60" s="108">
        <v>0</v>
      </c>
      <c r="J60" s="108">
        <v>0</v>
      </c>
      <c r="K60" s="108">
        <v>0</v>
      </c>
      <c r="L60" s="108">
        <v>0</v>
      </c>
      <c r="M60" s="108">
        <v>0</v>
      </c>
      <c r="N60" s="108">
        <v>0</v>
      </c>
      <c r="O60" s="109">
        <f t="shared" si="8"/>
        <v>0</v>
      </c>
    </row>
    <row r="61" spans="1:15" x14ac:dyDescent="0.35">
      <c r="A61" s="110"/>
      <c r="B61" s="106" t="s">
        <v>1507</v>
      </c>
      <c r="C61" s="79">
        <f>SUM(C46:C60)</f>
        <v>0</v>
      </c>
      <c r="D61" s="79">
        <f t="shared" ref="D61:I61" si="9">SUM(D46:D60)</f>
        <v>45.5</v>
      </c>
      <c r="E61" s="79">
        <f t="shared" si="9"/>
        <v>34</v>
      </c>
      <c r="F61" s="79">
        <f t="shared" si="9"/>
        <v>270</v>
      </c>
      <c r="G61" s="79">
        <f t="shared" si="9"/>
        <v>239.5</v>
      </c>
      <c r="H61" s="79">
        <f t="shared" si="9"/>
        <v>156</v>
      </c>
      <c r="I61" s="79">
        <f t="shared" si="9"/>
        <v>0</v>
      </c>
      <c r="J61" s="79">
        <f>SUM(J46:J60)</f>
        <v>0</v>
      </c>
      <c r="K61" s="79">
        <f t="shared" ref="K61:L61" si="10">SUM(K46:K60)</f>
        <v>0</v>
      </c>
      <c r="L61" s="79">
        <f t="shared" si="10"/>
        <v>0</v>
      </c>
      <c r="M61" s="79">
        <f>SUM(M46:M60)</f>
        <v>0</v>
      </c>
      <c r="N61" s="79">
        <f t="shared" ref="N61:O61" si="11">SUM(N46:N60)</f>
        <v>0</v>
      </c>
      <c r="O61" s="79">
        <f t="shared" si="11"/>
        <v>745</v>
      </c>
    </row>
    <row r="62" spans="1:15" x14ac:dyDescent="0.35">
      <c r="O62" s="78"/>
    </row>
    <row r="64" spans="1:15" ht="15.5" x14ac:dyDescent="0.35">
      <c r="A64" s="80" t="s">
        <v>1527</v>
      </c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7" ht="15.5" x14ac:dyDescent="0.35">
      <c r="A65" s="81" t="s">
        <v>0</v>
      </c>
      <c r="B65" s="81" t="s">
        <v>1510</v>
      </c>
      <c r="C65" s="82" t="s">
        <v>1511</v>
      </c>
      <c r="D65" s="82" t="s">
        <v>1512</v>
      </c>
      <c r="E65" s="82" t="s">
        <v>1513</v>
      </c>
      <c r="F65" s="82" t="s">
        <v>1514</v>
      </c>
      <c r="G65" s="82" t="s">
        <v>1515</v>
      </c>
      <c r="H65" s="82" t="s">
        <v>1516</v>
      </c>
      <c r="I65" s="82" t="s">
        <v>1517</v>
      </c>
      <c r="J65" s="82" t="s">
        <v>1518</v>
      </c>
      <c r="K65" s="82" t="s">
        <v>1519</v>
      </c>
      <c r="L65" s="82" t="s">
        <v>1520</v>
      </c>
      <c r="M65" s="82" t="s">
        <v>1521</v>
      </c>
      <c r="N65" s="82" t="s">
        <v>1522</v>
      </c>
      <c r="O65" s="82" t="s">
        <v>1472</v>
      </c>
    </row>
    <row r="66" spans="1:17" x14ac:dyDescent="0.35">
      <c r="A66" s="83">
        <v>1</v>
      </c>
      <c r="B66" s="83" t="s">
        <v>1492</v>
      </c>
      <c r="C66" s="84">
        <v>33</v>
      </c>
      <c r="D66" s="85">
        <v>39</v>
      </c>
      <c r="E66" s="84">
        <v>0</v>
      </c>
      <c r="F66" s="85">
        <v>13</v>
      </c>
      <c r="G66" s="84">
        <v>30</v>
      </c>
      <c r="H66" s="85">
        <v>5</v>
      </c>
      <c r="I66" s="84">
        <v>13</v>
      </c>
      <c r="J66" s="85">
        <v>0</v>
      </c>
      <c r="K66" s="84">
        <v>20</v>
      </c>
      <c r="L66" s="86"/>
      <c r="M66" s="86"/>
      <c r="N66" s="86"/>
      <c r="O66" s="102">
        <f>SUM(C66:N66)</f>
        <v>153</v>
      </c>
    </row>
    <row r="67" spans="1:17" x14ac:dyDescent="0.35">
      <c r="A67" s="83">
        <v>2</v>
      </c>
      <c r="B67" s="83" t="s">
        <v>1493</v>
      </c>
      <c r="C67" s="84">
        <v>11</v>
      </c>
      <c r="D67" s="85">
        <v>24</v>
      </c>
      <c r="E67" s="84">
        <v>0</v>
      </c>
      <c r="F67" s="85">
        <v>15</v>
      </c>
      <c r="G67" s="84">
        <v>6</v>
      </c>
      <c r="H67" s="85">
        <v>2</v>
      </c>
      <c r="I67" s="84">
        <v>25</v>
      </c>
      <c r="J67" s="85">
        <v>8</v>
      </c>
      <c r="K67" s="84">
        <v>3</v>
      </c>
      <c r="L67" s="86"/>
      <c r="M67" s="86"/>
      <c r="N67" s="86"/>
      <c r="O67" s="102">
        <f>SUM(C67:N67)</f>
        <v>94</v>
      </c>
    </row>
    <row r="68" spans="1:17" x14ac:dyDescent="0.35">
      <c r="A68" s="83">
        <v>3</v>
      </c>
      <c r="B68" s="83" t="s">
        <v>1494</v>
      </c>
      <c r="C68" s="84">
        <v>172</v>
      </c>
      <c r="D68" s="85">
        <v>92</v>
      </c>
      <c r="E68" s="84">
        <v>96</v>
      </c>
      <c r="F68" s="85">
        <v>95</v>
      </c>
      <c r="G68" s="84">
        <v>99</v>
      </c>
      <c r="H68" s="85">
        <v>70</v>
      </c>
      <c r="I68" s="84">
        <v>20</v>
      </c>
      <c r="J68" s="85">
        <v>40</v>
      </c>
      <c r="K68" s="84">
        <v>32</v>
      </c>
      <c r="L68" s="86"/>
      <c r="M68" s="86"/>
      <c r="N68" s="86"/>
      <c r="O68" s="102">
        <f>SUM(C68:N68)</f>
        <v>716</v>
      </c>
    </row>
    <row r="69" spans="1:17" x14ac:dyDescent="0.35">
      <c r="A69" s="83">
        <v>4</v>
      </c>
      <c r="B69" s="83" t="s">
        <v>1495</v>
      </c>
      <c r="C69" s="84">
        <v>45</v>
      </c>
      <c r="D69" s="85">
        <v>33</v>
      </c>
      <c r="E69" s="84">
        <v>52</v>
      </c>
      <c r="F69" s="85">
        <v>2</v>
      </c>
      <c r="G69" s="84">
        <v>2</v>
      </c>
      <c r="H69" s="85">
        <v>2</v>
      </c>
      <c r="I69" s="84">
        <v>2</v>
      </c>
      <c r="J69" s="85">
        <v>2</v>
      </c>
      <c r="K69" s="84">
        <v>2</v>
      </c>
      <c r="L69" s="86"/>
      <c r="M69" s="86"/>
      <c r="N69" s="86"/>
      <c r="O69" s="102">
        <f>SUM(C69:N69)</f>
        <v>142</v>
      </c>
    </row>
    <row r="70" spans="1:17" x14ac:dyDescent="0.35">
      <c r="A70" s="83">
        <v>5</v>
      </c>
      <c r="B70" s="83" t="s">
        <v>1496</v>
      </c>
      <c r="C70" s="84">
        <v>30</v>
      </c>
      <c r="D70" s="85">
        <v>36</v>
      </c>
      <c r="E70" s="84">
        <v>14</v>
      </c>
      <c r="F70" s="85">
        <v>1</v>
      </c>
      <c r="G70" s="84">
        <v>0</v>
      </c>
      <c r="H70" s="85">
        <v>35</v>
      </c>
      <c r="I70" s="84">
        <v>0</v>
      </c>
      <c r="J70" s="85">
        <v>7</v>
      </c>
      <c r="K70" s="84">
        <v>3</v>
      </c>
      <c r="L70" s="86"/>
      <c r="M70" s="86"/>
      <c r="N70" s="86"/>
      <c r="O70" s="102">
        <f>SUM(C70:N70)</f>
        <v>126</v>
      </c>
      <c r="Q70" s="50"/>
    </row>
    <row r="71" spans="1:17" x14ac:dyDescent="0.35">
      <c r="A71" s="83">
        <v>6</v>
      </c>
      <c r="B71" s="83" t="s">
        <v>1497</v>
      </c>
      <c r="C71" s="84">
        <v>71</v>
      </c>
      <c r="D71" s="85">
        <v>21</v>
      </c>
      <c r="E71" s="84">
        <v>0</v>
      </c>
      <c r="F71" s="85">
        <v>50</v>
      </c>
      <c r="G71" s="84">
        <v>42</v>
      </c>
      <c r="H71" s="85">
        <v>1</v>
      </c>
      <c r="I71" s="84">
        <v>2</v>
      </c>
      <c r="J71" s="85">
        <v>3</v>
      </c>
      <c r="K71" s="84">
        <v>32</v>
      </c>
      <c r="L71" s="86"/>
      <c r="M71" s="86"/>
      <c r="N71" s="86"/>
      <c r="O71" s="102">
        <f>SUM(C71:N71)</f>
        <v>222</v>
      </c>
    </row>
    <row r="72" spans="1:17" x14ac:dyDescent="0.35">
      <c r="A72" s="83">
        <v>7</v>
      </c>
      <c r="B72" s="83" t="s">
        <v>1498</v>
      </c>
      <c r="C72" s="84">
        <v>11</v>
      </c>
      <c r="D72" s="85">
        <v>11</v>
      </c>
      <c r="E72" s="84">
        <v>1</v>
      </c>
      <c r="F72" s="85">
        <v>1</v>
      </c>
      <c r="G72" s="84">
        <v>3</v>
      </c>
      <c r="H72" s="85">
        <v>7</v>
      </c>
      <c r="I72" s="84">
        <v>6</v>
      </c>
      <c r="J72" s="85">
        <v>6</v>
      </c>
      <c r="K72" s="84">
        <v>5</v>
      </c>
      <c r="L72" s="86"/>
      <c r="M72" s="86"/>
      <c r="N72" s="86"/>
      <c r="O72" s="102">
        <f>SUM(C72:N72)</f>
        <v>51</v>
      </c>
    </row>
    <row r="73" spans="1:17" x14ac:dyDescent="0.35">
      <c r="A73" s="83">
        <v>8</v>
      </c>
      <c r="B73" s="83" t="s">
        <v>1499</v>
      </c>
      <c r="C73" s="84">
        <v>13</v>
      </c>
      <c r="D73" s="85">
        <v>24</v>
      </c>
      <c r="E73" s="84">
        <v>0</v>
      </c>
      <c r="F73" s="85">
        <v>18</v>
      </c>
      <c r="G73" s="84">
        <v>6</v>
      </c>
      <c r="H73" s="85">
        <v>4</v>
      </c>
      <c r="I73" s="84">
        <v>8</v>
      </c>
      <c r="J73" s="85">
        <v>0</v>
      </c>
      <c r="K73" s="84">
        <v>10</v>
      </c>
      <c r="L73" s="86"/>
      <c r="M73" s="86"/>
      <c r="N73" s="86"/>
      <c r="O73" s="102">
        <f>SUM(C73:N73)</f>
        <v>83</v>
      </c>
    </row>
    <row r="74" spans="1:17" x14ac:dyDescent="0.35">
      <c r="A74" s="83">
        <v>9</v>
      </c>
      <c r="B74" s="83" t="s">
        <v>1500</v>
      </c>
      <c r="C74" s="84">
        <v>9</v>
      </c>
      <c r="D74" s="85">
        <v>24</v>
      </c>
      <c r="E74" s="84">
        <v>0</v>
      </c>
      <c r="F74" s="85">
        <v>0</v>
      </c>
      <c r="G74" s="84">
        <v>0</v>
      </c>
      <c r="H74" s="85">
        <v>7</v>
      </c>
      <c r="I74" s="84">
        <v>13</v>
      </c>
      <c r="J74" s="85">
        <v>13</v>
      </c>
      <c r="K74" s="84">
        <v>15</v>
      </c>
      <c r="L74" s="86"/>
      <c r="M74" s="86"/>
      <c r="N74" s="86"/>
      <c r="O74" s="102">
        <f>SUM(C74:N74)</f>
        <v>81</v>
      </c>
    </row>
    <row r="75" spans="1:17" x14ac:dyDescent="0.35">
      <c r="A75" s="83">
        <v>10</v>
      </c>
      <c r="B75" s="83" t="s">
        <v>1501</v>
      </c>
      <c r="C75" s="84">
        <v>20</v>
      </c>
      <c r="D75" s="85">
        <v>18</v>
      </c>
      <c r="E75" s="84">
        <v>5</v>
      </c>
      <c r="F75" s="85">
        <v>10</v>
      </c>
      <c r="G75" s="84">
        <v>6</v>
      </c>
      <c r="H75" s="85">
        <v>5</v>
      </c>
      <c r="I75" s="84">
        <v>4</v>
      </c>
      <c r="J75" s="85">
        <v>6</v>
      </c>
      <c r="K75" s="84">
        <v>5</v>
      </c>
      <c r="L75" s="87"/>
      <c r="M75" s="87"/>
      <c r="N75" s="87"/>
      <c r="O75" s="102">
        <f>SUM(C75:N75)</f>
        <v>79</v>
      </c>
    </row>
    <row r="76" spans="1:17" x14ac:dyDescent="0.35">
      <c r="A76" s="83">
        <v>11</v>
      </c>
      <c r="B76" s="83" t="s">
        <v>1502</v>
      </c>
      <c r="C76" s="84">
        <v>4.5</v>
      </c>
      <c r="D76" s="85">
        <v>0</v>
      </c>
      <c r="E76" s="84">
        <v>0</v>
      </c>
      <c r="F76" s="85">
        <v>0</v>
      </c>
      <c r="G76" s="84">
        <v>6.5</v>
      </c>
      <c r="H76" s="85">
        <v>5.75</v>
      </c>
      <c r="I76" s="84">
        <v>0</v>
      </c>
      <c r="J76" s="85">
        <v>0</v>
      </c>
      <c r="K76" s="84">
        <v>0</v>
      </c>
      <c r="L76" s="86"/>
      <c r="M76" s="86"/>
      <c r="N76" s="86"/>
      <c r="O76" s="102">
        <f>SUM(C76:N76)</f>
        <v>16.75</v>
      </c>
    </row>
    <row r="77" spans="1:17" x14ac:dyDescent="0.35">
      <c r="A77" s="83">
        <v>12</v>
      </c>
      <c r="B77" s="83" t="s">
        <v>1503</v>
      </c>
      <c r="C77" s="84">
        <v>34</v>
      </c>
      <c r="D77" s="85">
        <v>19</v>
      </c>
      <c r="E77" s="84">
        <v>0.14000000000000001</v>
      </c>
      <c r="F77" s="85">
        <v>44.79</v>
      </c>
      <c r="G77" s="84">
        <v>67.040000000000006</v>
      </c>
      <c r="H77" s="85">
        <v>67.400000000000006</v>
      </c>
      <c r="I77" s="84">
        <v>74</v>
      </c>
      <c r="J77" s="85">
        <v>32.5</v>
      </c>
      <c r="K77" s="84">
        <v>33.700000000000003</v>
      </c>
      <c r="L77" s="86"/>
      <c r="M77" s="86"/>
      <c r="N77" s="86"/>
      <c r="O77" s="102">
        <f>SUM(C77:N77)</f>
        <v>372.57</v>
      </c>
    </row>
    <row r="78" spans="1:17" x14ac:dyDescent="0.35">
      <c r="A78" s="83">
        <v>13</v>
      </c>
      <c r="B78" s="83" t="s">
        <v>1504</v>
      </c>
      <c r="C78" s="84">
        <v>66</v>
      </c>
      <c r="D78" s="85">
        <v>45</v>
      </c>
      <c r="E78" s="84">
        <v>5</v>
      </c>
      <c r="F78" s="85">
        <v>9</v>
      </c>
      <c r="G78" s="84">
        <v>115</v>
      </c>
      <c r="H78" s="85">
        <v>10.5</v>
      </c>
      <c r="I78" s="84">
        <v>69.5</v>
      </c>
      <c r="J78" s="85">
        <v>15</v>
      </c>
      <c r="K78" s="84">
        <v>15</v>
      </c>
      <c r="L78" s="88"/>
      <c r="M78" s="88"/>
      <c r="N78" s="88"/>
      <c r="O78" s="102">
        <f>SUM(C78:N78)</f>
        <v>350</v>
      </c>
    </row>
    <row r="79" spans="1:17" x14ac:dyDescent="0.35">
      <c r="A79" s="83">
        <v>14</v>
      </c>
      <c r="B79" s="83" t="s">
        <v>1505</v>
      </c>
      <c r="C79" s="84">
        <v>104</v>
      </c>
      <c r="D79" s="85">
        <v>113</v>
      </c>
      <c r="E79" s="84">
        <v>10</v>
      </c>
      <c r="F79" s="85">
        <v>5</v>
      </c>
      <c r="G79" s="84">
        <v>10</v>
      </c>
      <c r="H79" s="85">
        <v>5</v>
      </c>
      <c r="I79" s="84">
        <v>5</v>
      </c>
      <c r="J79" s="85">
        <v>29</v>
      </c>
      <c r="K79" s="84">
        <v>10</v>
      </c>
      <c r="L79" s="89"/>
      <c r="M79" s="89"/>
      <c r="N79" s="89"/>
      <c r="O79" s="102">
        <f>SUM(C79:N79)</f>
        <v>291</v>
      </c>
    </row>
    <row r="80" spans="1:17" x14ac:dyDescent="0.35">
      <c r="A80" s="83">
        <v>15</v>
      </c>
      <c r="B80" s="83" t="s">
        <v>1506</v>
      </c>
      <c r="C80" s="84">
        <v>100</v>
      </c>
      <c r="D80" s="85">
        <v>132</v>
      </c>
      <c r="E80" s="84">
        <v>0</v>
      </c>
      <c r="F80" s="85">
        <v>0</v>
      </c>
      <c r="G80" s="84">
        <v>4</v>
      </c>
      <c r="H80" s="85">
        <v>0</v>
      </c>
      <c r="I80" s="84">
        <v>95</v>
      </c>
      <c r="J80" s="85">
        <v>0</v>
      </c>
      <c r="K80" s="84">
        <v>0</v>
      </c>
      <c r="L80" s="86"/>
      <c r="M80" s="86"/>
      <c r="N80" s="86"/>
      <c r="O80" s="102">
        <f>SUM(C80:N80)</f>
        <v>331</v>
      </c>
    </row>
    <row r="81" spans="1:16" ht="15.5" x14ac:dyDescent="0.35">
      <c r="A81" s="90" t="s">
        <v>1523</v>
      </c>
      <c r="B81" s="90"/>
      <c r="C81" s="91">
        <f>SUM(C66:C80)</f>
        <v>723.5</v>
      </c>
      <c r="D81" s="92">
        <f>SUM(D66:D80)</f>
        <v>631</v>
      </c>
      <c r="E81" s="91">
        <f t="shared" ref="E81:H81" si="12">SUM(E66:E80)</f>
        <v>183.14</v>
      </c>
      <c r="F81" s="92">
        <f t="shared" si="12"/>
        <v>263.78999999999996</v>
      </c>
      <c r="G81" s="91">
        <f t="shared" si="12"/>
        <v>396.54</v>
      </c>
      <c r="H81" s="92">
        <f t="shared" si="12"/>
        <v>226.65</v>
      </c>
      <c r="I81" s="93">
        <f>SUM(I66:I80)</f>
        <v>336.5</v>
      </c>
      <c r="J81" s="93">
        <f t="shared" ref="J81:N81" si="13">SUM(J66:J80)</f>
        <v>161.5</v>
      </c>
      <c r="K81" s="93">
        <f t="shared" si="13"/>
        <v>185.7</v>
      </c>
      <c r="L81" s="93">
        <f t="shared" si="13"/>
        <v>0</v>
      </c>
      <c r="M81" s="93">
        <f t="shared" si="13"/>
        <v>0</v>
      </c>
      <c r="N81" s="93">
        <f t="shared" si="13"/>
        <v>0</v>
      </c>
      <c r="O81" s="103">
        <f>SUM(O66:O80)</f>
        <v>3108.32</v>
      </c>
      <c r="P81" s="101">
        <f>O81/O40</f>
        <v>0.64812162080448066</v>
      </c>
    </row>
    <row r="83" spans="1:16" x14ac:dyDescent="0.35">
      <c r="B83" s="19" t="s">
        <v>1525</v>
      </c>
    </row>
    <row r="84" spans="1:16" ht="15.5" x14ac:dyDescent="0.35">
      <c r="A84" s="81" t="s">
        <v>0</v>
      </c>
      <c r="B84" s="81" t="s">
        <v>1510</v>
      </c>
      <c r="C84" s="82" t="s">
        <v>1520</v>
      </c>
      <c r="D84" s="82" t="s">
        <v>1521</v>
      </c>
      <c r="E84" s="82" t="s">
        <v>1522</v>
      </c>
      <c r="F84" s="95" t="s">
        <v>1472</v>
      </c>
    </row>
    <row r="85" spans="1:16" x14ac:dyDescent="0.35">
      <c r="A85" s="83">
        <v>1</v>
      </c>
      <c r="B85" s="83" t="s">
        <v>1492</v>
      </c>
      <c r="C85" s="96">
        <v>32.491256676618939</v>
      </c>
      <c r="D85" s="96">
        <v>7.0633166688302031</v>
      </c>
      <c r="E85" s="96">
        <v>14.126633337660406</v>
      </c>
      <c r="F85" s="94">
        <f>SUM(C85:E85)</f>
        <v>53.681206683109551</v>
      </c>
    </row>
    <row r="86" spans="1:16" x14ac:dyDescent="0.35">
      <c r="A86" s="83">
        <v>2</v>
      </c>
      <c r="B86" s="83" t="s">
        <v>1493</v>
      </c>
      <c r="C86" s="96">
        <v>7.0633166688302031</v>
      </c>
      <c r="D86" s="96">
        <v>2.8253266675320812</v>
      </c>
      <c r="E86" s="96">
        <v>7.0633166688302031</v>
      </c>
      <c r="F86" s="94">
        <f t="shared" ref="F86:F99" si="14">SUM(C86:E86)</f>
        <v>16.951960005192486</v>
      </c>
    </row>
    <row r="87" spans="1:16" x14ac:dyDescent="0.35">
      <c r="A87" s="83">
        <v>3</v>
      </c>
      <c r="B87" s="83" t="s">
        <v>1494</v>
      </c>
      <c r="C87" s="96">
        <v>91.823116694792645</v>
      </c>
      <c r="D87" s="96">
        <f>125.727036705178-28.85</f>
        <v>96.877036705178</v>
      </c>
      <c r="E87" s="96">
        <v>230.26412340386463</v>
      </c>
      <c r="F87" s="94">
        <f t="shared" si="14"/>
        <v>418.96427680383528</v>
      </c>
    </row>
    <row r="88" spans="1:16" x14ac:dyDescent="0.35">
      <c r="A88" s="83">
        <v>4</v>
      </c>
      <c r="B88" s="83" t="s">
        <v>1495</v>
      </c>
      <c r="C88" s="96">
        <v>2.8253266675320816</v>
      </c>
      <c r="D88" s="96">
        <v>2.8253266675320816</v>
      </c>
      <c r="E88" s="96">
        <v>2.8253266675320816</v>
      </c>
      <c r="F88" s="94">
        <f t="shared" si="14"/>
        <v>8.4759800025962448</v>
      </c>
    </row>
    <row r="89" spans="1:16" x14ac:dyDescent="0.35">
      <c r="A89" s="83">
        <v>5</v>
      </c>
      <c r="B89" s="83" t="s">
        <v>1496</v>
      </c>
      <c r="C89" s="96">
        <v>2.8253266675320812</v>
      </c>
      <c r="D89" s="96">
        <v>2.8253266675320812</v>
      </c>
      <c r="E89" s="96">
        <v>1.4126633337660406</v>
      </c>
      <c r="F89" s="94">
        <f t="shared" si="14"/>
        <v>7.0633166688302031</v>
      </c>
    </row>
    <row r="90" spans="1:16" x14ac:dyDescent="0.35">
      <c r="A90" s="83">
        <v>6</v>
      </c>
      <c r="B90" s="83" t="s">
        <v>1497</v>
      </c>
      <c r="C90" s="96">
        <v>0</v>
      </c>
      <c r="D90" s="96">
        <v>14.126633337660408</v>
      </c>
      <c r="E90" s="96">
        <v>35.31658334415102</v>
      </c>
      <c r="F90" s="94">
        <f t="shared" si="14"/>
        <v>49.443216681811428</v>
      </c>
    </row>
    <row r="91" spans="1:16" x14ac:dyDescent="0.35">
      <c r="A91" s="83">
        <v>7</v>
      </c>
      <c r="B91" s="83" t="s">
        <v>1498</v>
      </c>
      <c r="C91" s="96">
        <v>1.4126633337660406</v>
      </c>
      <c r="D91" s="96">
        <v>1.4126633337660406</v>
      </c>
      <c r="E91" s="96">
        <v>1.4126633337660406</v>
      </c>
      <c r="F91" s="94">
        <f t="shared" si="14"/>
        <v>4.2379900012981215</v>
      </c>
    </row>
    <row r="92" spans="1:16" x14ac:dyDescent="0.35">
      <c r="A92" s="83">
        <v>8</v>
      </c>
      <c r="B92" s="83" t="s">
        <v>1499</v>
      </c>
      <c r="C92" s="96">
        <v>14.126633337660408</v>
      </c>
      <c r="D92" s="96">
        <v>14.126633337660408</v>
      </c>
      <c r="E92" s="96">
        <v>70.63316668830204</v>
      </c>
      <c r="F92" s="94">
        <f t="shared" si="14"/>
        <v>98.886433363622857</v>
      </c>
    </row>
    <row r="93" spans="1:16" x14ac:dyDescent="0.35">
      <c r="A93" s="83">
        <v>9</v>
      </c>
      <c r="B93" s="83" t="s">
        <v>1500</v>
      </c>
      <c r="C93" s="96">
        <v>26.840603341554775</v>
      </c>
      <c r="D93" s="96">
        <v>28.253266675320816</v>
      </c>
      <c r="E93" s="96">
        <v>21.189950006490612</v>
      </c>
      <c r="F93" s="94">
        <f t="shared" si="14"/>
        <v>76.283820023366204</v>
      </c>
    </row>
    <row r="94" spans="1:16" x14ac:dyDescent="0.35">
      <c r="A94" s="83">
        <v>10</v>
      </c>
      <c r="B94" s="83" t="s">
        <v>1501</v>
      </c>
      <c r="C94" s="87">
        <v>7.063316668830204</v>
      </c>
      <c r="D94" s="87">
        <v>7.063316668830204</v>
      </c>
      <c r="E94" s="87">
        <v>7.7696483357132244</v>
      </c>
      <c r="F94" s="94">
        <f t="shared" si="14"/>
        <v>21.896281673373633</v>
      </c>
    </row>
    <row r="95" spans="1:16" x14ac:dyDescent="0.35">
      <c r="A95" s="83">
        <v>11</v>
      </c>
      <c r="B95" s="83" t="s">
        <v>1502</v>
      </c>
      <c r="C95" s="96">
        <v>11.301306670128326</v>
      </c>
      <c r="D95" s="96">
        <v>0</v>
      </c>
      <c r="E95" s="96">
        <v>31.078593342852898</v>
      </c>
      <c r="F95" s="94">
        <f t="shared" si="14"/>
        <v>42.379900012981224</v>
      </c>
    </row>
    <row r="96" spans="1:16" x14ac:dyDescent="0.35">
      <c r="A96" s="83">
        <v>12</v>
      </c>
      <c r="B96" s="83" t="s">
        <v>1503</v>
      </c>
      <c r="C96" s="96">
        <v>21.543115839932121</v>
      </c>
      <c r="D96" s="96">
        <v>8.1510674358300541</v>
      </c>
      <c r="E96" s="96">
        <v>21.189950006490609</v>
      </c>
      <c r="F96" s="94">
        <f t="shared" si="14"/>
        <v>50.884133282252783</v>
      </c>
    </row>
    <row r="97" spans="1:15" x14ac:dyDescent="0.35">
      <c r="A97" s="83">
        <v>13</v>
      </c>
      <c r="B97" s="83" t="s">
        <v>1504</v>
      </c>
      <c r="C97" s="96">
        <v>1.4126633337660408</v>
      </c>
      <c r="D97" s="96">
        <v>2.8253266675320816</v>
      </c>
      <c r="E97" s="96">
        <v>4.2379900012981198</v>
      </c>
      <c r="F97" s="94">
        <f t="shared" si="14"/>
        <v>8.4759800025962413</v>
      </c>
    </row>
    <row r="98" spans="1:15" x14ac:dyDescent="0.35">
      <c r="A98" s="83">
        <v>14</v>
      </c>
      <c r="B98" s="83" t="s">
        <v>1505</v>
      </c>
      <c r="C98" s="96">
        <v>7.0633166688302031</v>
      </c>
      <c r="D98" s="96">
        <v>7.0633166688302031</v>
      </c>
      <c r="E98" s="96">
        <v>56.506533350641625</v>
      </c>
      <c r="F98" s="94">
        <f t="shared" si="14"/>
        <v>70.633166688302026</v>
      </c>
    </row>
    <row r="99" spans="1:15" x14ac:dyDescent="0.35">
      <c r="A99" s="83">
        <v>15</v>
      </c>
      <c r="B99" s="83" t="s">
        <v>1506</v>
      </c>
      <c r="C99" s="96">
        <v>0</v>
      </c>
      <c r="D99" s="96">
        <v>2.8253266675320812</v>
      </c>
      <c r="E99" s="96">
        <v>4.2379900012981224</v>
      </c>
      <c r="F99" s="94">
        <f t="shared" si="14"/>
        <v>7.063316668830204</v>
      </c>
    </row>
    <row r="100" spans="1:15" ht="15.5" x14ac:dyDescent="0.35">
      <c r="A100" s="90" t="s">
        <v>1523</v>
      </c>
      <c r="B100" s="90"/>
      <c r="C100" s="94">
        <f>SUM(C85:C99)</f>
        <v>227.79196256977403</v>
      </c>
      <c r="D100" s="94">
        <f t="shared" ref="D100:F100" si="15">SUM(D85:D99)</f>
        <v>198.26388416956669</v>
      </c>
      <c r="E100" s="94">
        <f t="shared" si="15"/>
        <v>509.26513182265762</v>
      </c>
      <c r="F100" s="94">
        <f t="shared" si="15"/>
        <v>935.32097856199857</v>
      </c>
      <c r="O100" s="50"/>
    </row>
  </sheetData>
  <mergeCells count="20">
    <mergeCell ref="A100:B100"/>
    <mergeCell ref="F3:N3"/>
    <mergeCell ref="O44:O45"/>
    <mergeCell ref="A64:L64"/>
    <mergeCell ref="A81:B81"/>
    <mergeCell ref="A44:A45"/>
    <mergeCell ref="B44:B45"/>
    <mergeCell ref="C44:E44"/>
    <mergeCell ref="F44:H44"/>
    <mergeCell ref="I44:N44"/>
    <mergeCell ref="O3:O4"/>
    <mergeCell ref="A23:A24"/>
    <mergeCell ref="B23:B24"/>
    <mergeCell ref="C23:E23"/>
    <mergeCell ref="F23:H23"/>
    <mergeCell ref="I23:N23"/>
    <mergeCell ref="O23:O24"/>
    <mergeCell ref="A3:A4"/>
    <mergeCell ref="B3:B4"/>
    <mergeCell ref="C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559E-617B-4F2E-9537-0ECE02DBA253}">
  <dimension ref="A1:AJ23"/>
  <sheetViews>
    <sheetView topLeftCell="M1" zoomScale="65" workbookViewId="0">
      <selection activeCell="Z30" sqref="Z30"/>
    </sheetView>
  </sheetViews>
  <sheetFormatPr defaultColWidth="9.1796875" defaultRowHeight="14.5" x14ac:dyDescent="0.35"/>
  <cols>
    <col min="2" max="2" width="29.26953125" customWidth="1"/>
    <col min="3" max="5" width="8.7265625" bestFit="1" customWidth="1"/>
    <col min="6" max="9" width="10.453125" bestFit="1" customWidth="1"/>
    <col min="10" max="10" width="11.54296875" bestFit="1" customWidth="1"/>
    <col min="11" max="14" width="8.7265625" bestFit="1" customWidth="1"/>
    <col min="15" max="18" width="10.453125" bestFit="1" customWidth="1"/>
    <col min="19" max="22" width="8.7265625" bestFit="1" customWidth="1"/>
    <col min="23" max="26" width="10.453125" bestFit="1" customWidth="1"/>
    <col min="27" max="30" width="8.7265625" bestFit="1" customWidth="1"/>
    <col min="31" max="34" width="10.453125" bestFit="1" customWidth="1"/>
    <col min="35" max="35" width="13.7265625" bestFit="1" customWidth="1"/>
    <col min="36" max="36" width="14.54296875" bestFit="1" customWidth="1"/>
  </cols>
  <sheetData>
    <row r="1" spans="1:36" ht="15.5" x14ac:dyDescent="0.35">
      <c r="A1" s="112" t="s">
        <v>1528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36" ht="15.5" x14ac:dyDescent="0.35">
      <c r="A2" s="113" t="s">
        <v>1529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36" ht="15.5" x14ac:dyDescent="0.35">
      <c r="A3" s="114" t="s">
        <v>1542</v>
      </c>
      <c r="B3" s="114"/>
      <c r="C3" s="114"/>
      <c r="D3" s="114"/>
      <c r="E3" s="114"/>
      <c r="F3" s="114"/>
      <c r="G3" s="114"/>
      <c r="H3" s="114"/>
      <c r="I3" s="114"/>
      <c r="J3" s="114"/>
    </row>
    <row r="4" spans="1:36" ht="15.5" x14ac:dyDescent="0.35">
      <c r="A4" s="115"/>
      <c r="B4" s="116"/>
      <c r="C4" s="117" t="s">
        <v>1530</v>
      </c>
      <c r="D4" s="117"/>
      <c r="E4" s="117"/>
      <c r="F4" s="117"/>
      <c r="G4" s="117"/>
      <c r="H4" s="117"/>
      <c r="I4" s="117"/>
      <c r="J4" s="117"/>
      <c r="K4" s="117" t="s">
        <v>1531</v>
      </c>
      <c r="L4" s="117"/>
      <c r="M4" s="117"/>
      <c r="N4" s="117"/>
      <c r="O4" s="117"/>
      <c r="P4" s="117"/>
      <c r="Q4" s="117"/>
      <c r="R4" s="117"/>
      <c r="S4" s="117" t="s">
        <v>1532</v>
      </c>
      <c r="T4" s="117"/>
      <c r="U4" s="117"/>
      <c r="V4" s="117"/>
      <c r="W4" s="117"/>
      <c r="X4" s="117"/>
      <c r="Y4" s="117"/>
      <c r="Z4" s="117"/>
      <c r="AA4" s="117" t="s">
        <v>1533</v>
      </c>
      <c r="AB4" s="117"/>
      <c r="AC4" s="117"/>
      <c r="AD4" s="117"/>
      <c r="AE4" s="117"/>
      <c r="AF4" s="117"/>
      <c r="AG4" s="117"/>
      <c r="AH4" s="117"/>
      <c r="AI4" s="118" t="s">
        <v>1534</v>
      </c>
      <c r="AJ4" s="118"/>
    </row>
    <row r="5" spans="1:36" ht="15.5" x14ac:dyDescent="0.35">
      <c r="A5" s="119" t="s">
        <v>0</v>
      </c>
      <c r="B5" s="119" t="s">
        <v>1510</v>
      </c>
      <c r="C5" s="120" t="s">
        <v>1535</v>
      </c>
      <c r="D5" s="117"/>
      <c r="E5" s="117"/>
      <c r="F5" s="121"/>
      <c r="G5" s="120" t="s">
        <v>1536</v>
      </c>
      <c r="H5" s="117"/>
      <c r="I5" s="117"/>
      <c r="J5" s="121"/>
      <c r="K5" s="120" t="s">
        <v>1535</v>
      </c>
      <c r="L5" s="117"/>
      <c r="M5" s="117"/>
      <c r="N5" s="121"/>
      <c r="O5" s="120" t="s">
        <v>1536</v>
      </c>
      <c r="P5" s="117"/>
      <c r="Q5" s="117"/>
      <c r="R5" s="121"/>
      <c r="S5" s="120" t="s">
        <v>1535</v>
      </c>
      <c r="T5" s="117"/>
      <c r="U5" s="117"/>
      <c r="V5" s="121"/>
      <c r="W5" s="120" t="s">
        <v>1536</v>
      </c>
      <c r="X5" s="117"/>
      <c r="Y5" s="117"/>
      <c r="Z5" s="121"/>
      <c r="AA5" s="120" t="s">
        <v>1535</v>
      </c>
      <c r="AB5" s="117"/>
      <c r="AC5" s="117"/>
      <c r="AD5" s="121"/>
      <c r="AE5" s="120" t="s">
        <v>1536</v>
      </c>
      <c r="AF5" s="117"/>
      <c r="AG5" s="117"/>
      <c r="AH5" s="117"/>
      <c r="AI5" s="141" t="s">
        <v>1537</v>
      </c>
      <c r="AJ5" s="122" t="s">
        <v>1538</v>
      </c>
    </row>
    <row r="6" spans="1:36" ht="15.5" x14ac:dyDescent="0.35">
      <c r="A6" s="123"/>
      <c r="B6" s="123"/>
      <c r="C6" s="82" t="s">
        <v>1511</v>
      </c>
      <c r="D6" s="82" t="s">
        <v>1512</v>
      </c>
      <c r="E6" s="82" t="s">
        <v>1513</v>
      </c>
      <c r="F6" s="124" t="s">
        <v>36</v>
      </c>
      <c r="G6" s="82" t="s">
        <v>1511</v>
      </c>
      <c r="H6" s="82" t="s">
        <v>1512</v>
      </c>
      <c r="I6" s="82" t="s">
        <v>1513</v>
      </c>
      <c r="J6" s="124" t="s">
        <v>36</v>
      </c>
      <c r="K6" s="82" t="s">
        <v>1514</v>
      </c>
      <c r="L6" s="82" t="s">
        <v>1229</v>
      </c>
      <c r="M6" s="82" t="s">
        <v>1516</v>
      </c>
      <c r="N6" s="124" t="s">
        <v>36</v>
      </c>
      <c r="O6" s="82" t="s">
        <v>1514</v>
      </c>
      <c r="P6" s="82" t="s">
        <v>1229</v>
      </c>
      <c r="Q6" s="82" t="s">
        <v>1516</v>
      </c>
      <c r="R6" s="124" t="s">
        <v>36</v>
      </c>
      <c r="S6" s="82" t="s">
        <v>1517</v>
      </c>
      <c r="T6" s="82" t="s">
        <v>1539</v>
      </c>
      <c r="U6" s="82" t="s">
        <v>1524</v>
      </c>
      <c r="V6" s="124" t="s">
        <v>36</v>
      </c>
      <c r="W6" s="82" t="s">
        <v>1517</v>
      </c>
      <c r="X6" s="82" t="s">
        <v>1539</v>
      </c>
      <c r="Y6" s="82" t="s">
        <v>1524</v>
      </c>
      <c r="Z6" s="124" t="s">
        <v>36</v>
      </c>
      <c r="AA6" s="82" t="s">
        <v>1540</v>
      </c>
      <c r="AB6" s="82" t="s">
        <v>1521</v>
      </c>
      <c r="AC6" s="82" t="s">
        <v>1541</v>
      </c>
      <c r="AD6" s="124" t="s">
        <v>36</v>
      </c>
      <c r="AE6" s="82" t="s">
        <v>1540</v>
      </c>
      <c r="AF6" s="82" t="s">
        <v>1521</v>
      </c>
      <c r="AG6" s="82" t="s">
        <v>1541</v>
      </c>
      <c r="AH6" s="125" t="s">
        <v>36</v>
      </c>
      <c r="AI6" s="141"/>
      <c r="AJ6" s="126"/>
    </row>
    <row r="7" spans="1:36" x14ac:dyDescent="0.35">
      <c r="A7" s="83">
        <v>1</v>
      </c>
      <c r="B7" s="83" t="s">
        <v>1492</v>
      </c>
      <c r="C7" s="127">
        <v>33</v>
      </c>
      <c r="D7" s="128">
        <v>39</v>
      </c>
      <c r="E7" s="127">
        <v>0</v>
      </c>
      <c r="F7" s="129">
        <f>SUM(C7:E7)</f>
        <v>72</v>
      </c>
      <c r="G7" s="130">
        <f>C7*6</f>
        <v>198</v>
      </c>
      <c r="H7" s="131">
        <f>D7*6</f>
        <v>234</v>
      </c>
      <c r="I7" s="130">
        <f>E7*6</f>
        <v>0</v>
      </c>
      <c r="J7" s="129">
        <f>SUM(G7:I7)</f>
        <v>432</v>
      </c>
      <c r="K7" s="127">
        <v>13</v>
      </c>
      <c r="L7" s="128">
        <v>30</v>
      </c>
      <c r="M7" s="127">
        <v>5</v>
      </c>
      <c r="N7" s="129">
        <f>SUM(K7:M7)</f>
        <v>48</v>
      </c>
      <c r="O7" s="130">
        <f>K7*6</f>
        <v>78</v>
      </c>
      <c r="P7" s="131">
        <f>L7*6</f>
        <v>180</v>
      </c>
      <c r="Q7" s="130">
        <f>M7*6</f>
        <v>30</v>
      </c>
      <c r="R7" s="129">
        <f>SUM(O7:Q7)</f>
        <v>288</v>
      </c>
      <c r="S7" s="127">
        <v>13</v>
      </c>
      <c r="T7" s="128">
        <v>0</v>
      </c>
      <c r="U7" s="127">
        <v>20</v>
      </c>
      <c r="V7" s="129">
        <f>SUM(S7:U7)</f>
        <v>33</v>
      </c>
      <c r="W7" s="130">
        <f>S7*6</f>
        <v>78</v>
      </c>
      <c r="X7" s="131">
        <f>T7*6</f>
        <v>0</v>
      </c>
      <c r="Y7" s="130">
        <f>U7*6</f>
        <v>120</v>
      </c>
      <c r="Z7" s="129">
        <f>SUM(W7:Y7)</f>
        <v>198</v>
      </c>
      <c r="AA7" s="127"/>
      <c r="AB7" s="128"/>
      <c r="AC7" s="127"/>
      <c r="AD7" s="129">
        <f>SUM(AA7:AC7)</f>
        <v>0</v>
      </c>
      <c r="AE7" s="130">
        <f>AA7*8</f>
        <v>0</v>
      </c>
      <c r="AF7" s="131">
        <f>AB7*8</f>
        <v>0</v>
      </c>
      <c r="AG7" s="130">
        <f>AC7*8</f>
        <v>0</v>
      </c>
      <c r="AH7" s="129">
        <f>SUM(AE7:AG7)</f>
        <v>0</v>
      </c>
      <c r="AI7" s="132">
        <f>SUM(F7,N7,V7,AD7)</f>
        <v>153</v>
      </c>
      <c r="AJ7" s="132">
        <f>SUM(J7,R7,Z7,AH7)</f>
        <v>918</v>
      </c>
    </row>
    <row r="8" spans="1:36" x14ac:dyDescent="0.35">
      <c r="A8" s="83">
        <v>2</v>
      </c>
      <c r="B8" s="83" t="s">
        <v>1493</v>
      </c>
      <c r="C8" s="127">
        <v>11</v>
      </c>
      <c r="D8" s="128">
        <v>24</v>
      </c>
      <c r="E8" s="127">
        <v>0</v>
      </c>
      <c r="F8" s="129">
        <f t="shared" ref="F8:F21" si="0">SUM(C8:E8)</f>
        <v>35</v>
      </c>
      <c r="G8" s="130">
        <f t="shared" ref="G8:G21" si="1">C8*6</f>
        <v>66</v>
      </c>
      <c r="H8" s="131">
        <f t="shared" ref="H8:H21" si="2">D8*6</f>
        <v>144</v>
      </c>
      <c r="I8" s="130">
        <f t="shared" ref="I8:I21" si="3">E8*6</f>
        <v>0</v>
      </c>
      <c r="J8" s="129">
        <f t="shared" ref="J8:J21" si="4">SUM(G8:I8)</f>
        <v>210</v>
      </c>
      <c r="K8" s="127">
        <v>15</v>
      </c>
      <c r="L8" s="128">
        <v>6</v>
      </c>
      <c r="M8" s="127">
        <v>2</v>
      </c>
      <c r="N8" s="129">
        <f t="shared" ref="N8:N21" si="5">SUM(K8:M8)</f>
        <v>23</v>
      </c>
      <c r="O8" s="130">
        <f t="shared" ref="O8:O21" si="6">K8*6</f>
        <v>90</v>
      </c>
      <c r="P8" s="131">
        <f t="shared" ref="P8:P21" si="7">L8*6</f>
        <v>36</v>
      </c>
      <c r="Q8" s="130">
        <f t="shared" ref="Q8:Q21" si="8">M8*6</f>
        <v>12</v>
      </c>
      <c r="R8" s="129">
        <f t="shared" ref="R8:R21" si="9">SUM(O8:Q8)</f>
        <v>138</v>
      </c>
      <c r="S8" s="127">
        <v>25</v>
      </c>
      <c r="T8" s="128">
        <v>8</v>
      </c>
      <c r="U8" s="127">
        <v>3</v>
      </c>
      <c r="V8" s="129">
        <f t="shared" ref="V8:V21" si="10">SUM(S8:U8)</f>
        <v>36</v>
      </c>
      <c r="W8" s="130">
        <f t="shared" ref="W8:W21" si="11">S8*6</f>
        <v>150</v>
      </c>
      <c r="X8" s="131">
        <f t="shared" ref="X8:X21" si="12">T8*6</f>
        <v>48</v>
      </c>
      <c r="Y8" s="130">
        <f t="shared" ref="Y8:Y21" si="13">U8*6</f>
        <v>18</v>
      </c>
      <c r="Z8" s="129">
        <f t="shared" ref="Z8:Z21" si="14">SUM(W8:Y8)</f>
        <v>216</v>
      </c>
      <c r="AA8" s="127"/>
      <c r="AB8" s="128"/>
      <c r="AC8" s="127"/>
      <c r="AD8" s="129">
        <f t="shared" ref="AD8:AD21" si="15">SUM(AA8:AC8)</f>
        <v>0</v>
      </c>
      <c r="AE8" s="130">
        <f t="shared" ref="AE8:AG21" si="16">AA8*8</f>
        <v>0</v>
      </c>
      <c r="AF8" s="131">
        <f t="shared" si="16"/>
        <v>0</v>
      </c>
      <c r="AG8" s="130">
        <f t="shared" si="16"/>
        <v>0</v>
      </c>
      <c r="AH8" s="129">
        <f t="shared" ref="AH8:AH21" si="17">SUM(AE8:AG8)</f>
        <v>0</v>
      </c>
      <c r="AI8" s="132">
        <f t="shared" ref="AI8:AI21" si="18">SUM(F8,N8,V8,AD8)</f>
        <v>94</v>
      </c>
      <c r="AJ8" s="132">
        <f t="shared" ref="AJ8:AJ21" si="19">SUM(J8,R8,Z8,AH8)</f>
        <v>564</v>
      </c>
    </row>
    <row r="9" spans="1:36" x14ac:dyDescent="0.35">
      <c r="A9" s="83">
        <v>3</v>
      </c>
      <c r="B9" s="83" t="s">
        <v>1494</v>
      </c>
      <c r="C9" s="127">
        <v>172</v>
      </c>
      <c r="D9" s="128">
        <v>92</v>
      </c>
      <c r="E9" s="127">
        <v>96</v>
      </c>
      <c r="F9" s="129">
        <f t="shared" si="0"/>
        <v>360</v>
      </c>
      <c r="G9" s="130">
        <f t="shared" si="1"/>
        <v>1032</v>
      </c>
      <c r="H9" s="131">
        <f t="shared" si="2"/>
        <v>552</v>
      </c>
      <c r="I9" s="130">
        <f t="shared" si="3"/>
        <v>576</v>
      </c>
      <c r="J9" s="129">
        <f t="shared" si="4"/>
        <v>2160</v>
      </c>
      <c r="K9" s="127">
        <v>95</v>
      </c>
      <c r="L9" s="128">
        <v>99</v>
      </c>
      <c r="M9" s="127">
        <v>70</v>
      </c>
      <c r="N9" s="129">
        <f t="shared" si="5"/>
        <v>264</v>
      </c>
      <c r="O9" s="130">
        <f t="shared" si="6"/>
        <v>570</v>
      </c>
      <c r="P9" s="131">
        <f t="shared" si="7"/>
        <v>594</v>
      </c>
      <c r="Q9" s="130">
        <f t="shared" si="8"/>
        <v>420</v>
      </c>
      <c r="R9" s="129">
        <f t="shared" si="9"/>
        <v>1584</v>
      </c>
      <c r="S9" s="127">
        <v>20</v>
      </c>
      <c r="T9" s="128">
        <v>40</v>
      </c>
      <c r="U9" s="127">
        <v>32</v>
      </c>
      <c r="V9" s="129">
        <f t="shared" si="10"/>
        <v>92</v>
      </c>
      <c r="W9" s="130">
        <f t="shared" si="11"/>
        <v>120</v>
      </c>
      <c r="X9" s="131">
        <f t="shared" si="12"/>
        <v>240</v>
      </c>
      <c r="Y9" s="130">
        <f t="shared" si="13"/>
        <v>192</v>
      </c>
      <c r="Z9" s="129">
        <f t="shared" si="14"/>
        <v>552</v>
      </c>
      <c r="AA9" s="127"/>
      <c r="AB9" s="128"/>
      <c r="AC9" s="127"/>
      <c r="AD9" s="129">
        <f t="shared" si="15"/>
        <v>0</v>
      </c>
      <c r="AE9" s="130">
        <f t="shared" si="16"/>
        <v>0</v>
      </c>
      <c r="AF9" s="131">
        <f t="shared" si="16"/>
        <v>0</v>
      </c>
      <c r="AG9" s="130">
        <f t="shared" si="16"/>
        <v>0</v>
      </c>
      <c r="AH9" s="129">
        <f t="shared" si="17"/>
        <v>0</v>
      </c>
      <c r="AI9" s="132">
        <f t="shared" si="18"/>
        <v>716</v>
      </c>
      <c r="AJ9" s="132">
        <f t="shared" si="19"/>
        <v>4296</v>
      </c>
    </row>
    <row r="10" spans="1:36" x14ac:dyDescent="0.35">
      <c r="A10" s="83">
        <v>4</v>
      </c>
      <c r="B10" s="83" t="s">
        <v>1495</v>
      </c>
      <c r="C10" s="127">
        <v>45</v>
      </c>
      <c r="D10" s="128">
        <v>33</v>
      </c>
      <c r="E10" s="127">
        <v>52</v>
      </c>
      <c r="F10" s="129">
        <f t="shared" si="0"/>
        <v>130</v>
      </c>
      <c r="G10" s="130">
        <f t="shared" si="1"/>
        <v>270</v>
      </c>
      <c r="H10" s="131">
        <f t="shared" si="2"/>
        <v>198</v>
      </c>
      <c r="I10" s="130">
        <f t="shared" si="3"/>
        <v>312</v>
      </c>
      <c r="J10" s="129">
        <f t="shared" si="4"/>
        <v>780</v>
      </c>
      <c r="K10" s="127">
        <v>2</v>
      </c>
      <c r="L10" s="128">
        <v>2</v>
      </c>
      <c r="M10" s="127">
        <v>2</v>
      </c>
      <c r="N10" s="129">
        <f t="shared" si="5"/>
        <v>6</v>
      </c>
      <c r="O10" s="130">
        <f t="shared" si="6"/>
        <v>12</v>
      </c>
      <c r="P10" s="131">
        <f t="shared" si="7"/>
        <v>12</v>
      </c>
      <c r="Q10" s="130">
        <f t="shared" si="8"/>
        <v>12</v>
      </c>
      <c r="R10" s="129">
        <f t="shared" si="9"/>
        <v>36</v>
      </c>
      <c r="S10" s="127">
        <v>2</v>
      </c>
      <c r="T10" s="128">
        <v>2</v>
      </c>
      <c r="U10" s="127">
        <v>2</v>
      </c>
      <c r="V10" s="129">
        <f t="shared" si="10"/>
        <v>6</v>
      </c>
      <c r="W10" s="130">
        <f t="shared" si="11"/>
        <v>12</v>
      </c>
      <c r="X10" s="131">
        <f t="shared" si="12"/>
        <v>12</v>
      </c>
      <c r="Y10" s="130">
        <f t="shared" si="13"/>
        <v>12</v>
      </c>
      <c r="Z10" s="129">
        <f t="shared" si="14"/>
        <v>36</v>
      </c>
      <c r="AA10" s="127"/>
      <c r="AB10" s="128"/>
      <c r="AC10" s="127"/>
      <c r="AD10" s="129">
        <f t="shared" si="15"/>
        <v>0</v>
      </c>
      <c r="AE10" s="130">
        <f t="shared" si="16"/>
        <v>0</v>
      </c>
      <c r="AF10" s="131">
        <f t="shared" si="16"/>
        <v>0</v>
      </c>
      <c r="AG10" s="130">
        <f t="shared" si="16"/>
        <v>0</v>
      </c>
      <c r="AH10" s="129">
        <f t="shared" si="17"/>
        <v>0</v>
      </c>
      <c r="AI10" s="132">
        <f t="shared" si="18"/>
        <v>142</v>
      </c>
      <c r="AJ10" s="132">
        <f t="shared" si="19"/>
        <v>852</v>
      </c>
    </row>
    <row r="11" spans="1:36" x14ac:dyDescent="0.35">
      <c r="A11" s="83">
        <v>5</v>
      </c>
      <c r="B11" s="83" t="s">
        <v>1496</v>
      </c>
      <c r="C11" s="127">
        <v>30</v>
      </c>
      <c r="D11" s="128">
        <v>36</v>
      </c>
      <c r="E11" s="127">
        <v>14</v>
      </c>
      <c r="F11" s="129">
        <f t="shared" si="0"/>
        <v>80</v>
      </c>
      <c r="G11" s="130">
        <f t="shared" si="1"/>
        <v>180</v>
      </c>
      <c r="H11" s="131">
        <f t="shared" si="2"/>
        <v>216</v>
      </c>
      <c r="I11" s="130">
        <f t="shared" si="3"/>
        <v>84</v>
      </c>
      <c r="J11" s="129">
        <f t="shared" si="4"/>
        <v>480</v>
      </c>
      <c r="K11" s="127">
        <v>1</v>
      </c>
      <c r="L11" s="128">
        <v>0</v>
      </c>
      <c r="M11" s="127">
        <v>35</v>
      </c>
      <c r="N11" s="129">
        <f t="shared" si="5"/>
        <v>36</v>
      </c>
      <c r="O11" s="130">
        <f t="shared" si="6"/>
        <v>6</v>
      </c>
      <c r="P11" s="131">
        <f t="shared" si="7"/>
        <v>0</v>
      </c>
      <c r="Q11" s="130">
        <f t="shared" si="8"/>
        <v>210</v>
      </c>
      <c r="R11" s="129">
        <f t="shared" si="9"/>
        <v>216</v>
      </c>
      <c r="S11" s="127">
        <v>0</v>
      </c>
      <c r="T11" s="128">
        <v>7</v>
      </c>
      <c r="U11" s="127">
        <v>3</v>
      </c>
      <c r="V11" s="129">
        <f t="shared" si="10"/>
        <v>10</v>
      </c>
      <c r="W11" s="130">
        <f t="shared" si="11"/>
        <v>0</v>
      </c>
      <c r="X11" s="131">
        <f t="shared" si="12"/>
        <v>42</v>
      </c>
      <c r="Y11" s="130">
        <f t="shared" si="13"/>
        <v>18</v>
      </c>
      <c r="Z11" s="129">
        <f t="shared" si="14"/>
        <v>60</v>
      </c>
      <c r="AA11" s="127"/>
      <c r="AB11" s="128"/>
      <c r="AC11" s="127"/>
      <c r="AD11" s="129">
        <f t="shared" si="15"/>
        <v>0</v>
      </c>
      <c r="AE11" s="130">
        <f t="shared" si="16"/>
        <v>0</v>
      </c>
      <c r="AF11" s="131">
        <f t="shared" si="16"/>
        <v>0</v>
      </c>
      <c r="AG11" s="130">
        <f t="shared" si="16"/>
        <v>0</v>
      </c>
      <c r="AH11" s="129">
        <f t="shared" si="17"/>
        <v>0</v>
      </c>
      <c r="AI11" s="132">
        <f t="shared" si="18"/>
        <v>126</v>
      </c>
      <c r="AJ11" s="132">
        <f t="shared" si="19"/>
        <v>756</v>
      </c>
    </row>
    <row r="12" spans="1:36" x14ac:dyDescent="0.35">
      <c r="A12" s="83">
        <v>6</v>
      </c>
      <c r="B12" s="83" t="s">
        <v>1497</v>
      </c>
      <c r="C12" s="127">
        <v>71</v>
      </c>
      <c r="D12" s="128">
        <v>21</v>
      </c>
      <c r="E12" s="127">
        <v>0</v>
      </c>
      <c r="F12" s="129">
        <f t="shared" si="0"/>
        <v>92</v>
      </c>
      <c r="G12" s="130">
        <f t="shared" si="1"/>
        <v>426</v>
      </c>
      <c r="H12" s="131">
        <f t="shared" si="2"/>
        <v>126</v>
      </c>
      <c r="I12" s="130">
        <f t="shared" si="3"/>
        <v>0</v>
      </c>
      <c r="J12" s="129">
        <f t="shared" si="4"/>
        <v>552</v>
      </c>
      <c r="K12" s="127">
        <v>50</v>
      </c>
      <c r="L12" s="128">
        <v>42</v>
      </c>
      <c r="M12" s="127">
        <v>1</v>
      </c>
      <c r="N12" s="129">
        <f t="shared" si="5"/>
        <v>93</v>
      </c>
      <c r="O12" s="130">
        <f t="shared" si="6"/>
        <v>300</v>
      </c>
      <c r="P12" s="131">
        <f t="shared" si="7"/>
        <v>252</v>
      </c>
      <c r="Q12" s="130">
        <f t="shared" si="8"/>
        <v>6</v>
      </c>
      <c r="R12" s="129">
        <f t="shared" si="9"/>
        <v>558</v>
      </c>
      <c r="S12" s="127">
        <v>2</v>
      </c>
      <c r="T12" s="128">
        <v>3</v>
      </c>
      <c r="U12" s="127">
        <v>32</v>
      </c>
      <c r="V12" s="129">
        <f t="shared" si="10"/>
        <v>37</v>
      </c>
      <c r="W12" s="130">
        <f t="shared" si="11"/>
        <v>12</v>
      </c>
      <c r="X12" s="131">
        <f t="shared" si="12"/>
        <v>18</v>
      </c>
      <c r="Y12" s="130">
        <f t="shared" si="13"/>
        <v>192</v>
      </c>
      <c r="Z12" s="129">
        <f t="shared" si="14"/>
        <v>222</v>
      </c>
      <c r="AA12" s="127"/>
      <c r="AB12" s="128"/>
      <c r="AC12" s="127"/>
      <c r="AD12" s="129">
        <f t="shared" si="15"/>
        <v>0</v>
      </c>
      <c r="AE12" s="130">
        <f t="shared" si="16"/>
        <v>0</v>
      </c>
      <c r="AF12" s="131">
        <f t="shared" si="16"/>
        <v>0</v>
      </c>
      <c r="AG12" s="130">
        <f t="shared" si="16"/>
        <v>0</v>
      </c>
      <c r="AH12" s="129">
        <f t="shared" si="17"/>
        <v>0</v>
      </c>
      <c r="AI12" s="132">
        <f t="shared" si="18"/>
        <v>222</v>
      </c>
      <c r="AJ12" s="132">
        <f t="shared" si="19"/>
        <v>1332</v>
      </c>
    </row>
    <row r="13" spans="1:36" x14ac:dyDescent="0.35">
      <c r="A13" s="83">
        <v>7</v>
      </c>
      <c r="B13" s="83" t="s">
        <v>1498</v>
      </c>
      <c r="C13" s="127">
        <v>11</v>
      </c>
      <c r="D13" s="128">
        <v>11</v>
      </c>
      <c r="E13" s="127">
        <v>1</v>
      </c>
      <c r="F13" s="129">
        <f t="shared" si="0"/>
        <v>23</v>
      </c>
      <c r="G13" s="130">
        <f t="shared" si="1"/>
        <v>66</v>
      </c>
      <c r="H13" s="131">
        <f t="shared" si="2"/>
        <v>66</v>
      </c>
      <c r="I13" s="130">
        <f t="shared" si="3"/>
        <v>6</v>
      </c>
      <c r="J13" s="129">
        <f t="shared" si="4"/>
        <v>138</v>
      </c>
      <c r="K13" s="127">
        <v>1</v>
      </c>
      <c r="L13" s="128">
        <v>3</v>
      </c>
      <c r="M13" s="127">
        <v>7</v>
      </c>
      <c r="N13" s="129">
        <f t="shared" si="5"/>
        <v>11</v>
      </c>
      <c r="O13" s="130">
        <f t="shared" si="6"/>
        <v>6</v>
      </c>
      <c r="P13" s="131">
        <f t="shared" si="7"/>
        <v>18</v>
      </c>
      <c r="Q13" s="130">
        <f t="shared" si="8"/>
        <v>42</v>
      </c>
      <c r="R13" s="129">
        <f t="shared" si="9"/>
        <v>66</v>
      </c>
      <c r="S13" s="127">
        <v>6</v>
      </c>
      <c r="T13" s="128">
        <v>6</v>
      </c>
      <c r="U13" s="127">
        <v>5</v>
      </c>
      <c r="V13" s="129">
        <f t="shared" si="10"/>
        <v>17</v>
      </c>
      <c r="W13" s="130">
        <f t="shared" si="11"/>
        <v>36</v>
      </c>
      <c r="X13" s="131">
        <f t="shared" si="12"/>
        <v>36</v>
      </c>
      <c r="Y13" s="130">
        <f t="shared" si="13"/>
        <v>30</v>
      </c>
      <c r="Z13" s="129">
        <f t="shared" si="14"/>
        <v>102</v>
      </c>
      <c r="AA13" s="127"/>
      <c r="AB13" s="128"/>
      <c r="AC13" s="127"/>
      <c r="AD13" s="129">
        <f t="shared" si="15"/>
        <v>0</v>
      </c>
      <c r="AE13" s="130">
        <f t="shared" si="16"/>
        <v>0</v>
      </c>
      <c r="AF13" s="131">
        <f t="shared" si="16"/>
        <v>0</v>
      </c>
      <c r="AG13" s="130">
        <f t="shared" si="16"/>
        <v>0</v>
      </c>
      <c r="AH13" s="129">
        <f t="shared" si="17"/>
        <v>0</v>
      </c>
      <c r="AI13" s="132">
        <f t="shared" si="18"/>
        <v>51</v>
      </c>
      <c r="AJ13" s="132">
        <f t="shared" si="19"/>
        <v>306</v>
      </c>
    </row>
    <row r="14" spans="1:36" x14ac:dyDescent="0.35">
      <c r="A14" s="83">
        <v>8</v>
      </c>
      <c r="B14" s="83" t="s">
        <v>1499</v>
      </c>
      <c r="C14" s="133">
        <v>13</v>
      </c>
      <c r="D14" s="134">
        <v>24</v>
      </c>
      <c r="E14" s="133">
        <v>0</v>
      </c>
      <c r="F14" s="129">
        <f t="shared" si="0"/>
        <v>37</v>
      </c>
      <c r="G14" s="130">
        <f t="shared" si="1"/>
        <v>78</v>
      </c>
      <c r="H14" s="131">
        <f t="shared" si="2"/>
        <v>144</v>
      </c>
      <c r="I14" s="130">
        <f t="shared" si="3"/>
        <v>0</v>
      </c>
      <c r="J14" s="129">
        <f t="shared" si="4"/>
        <v>222</v>
      </c>
      <c r="K14" s="133">
        <v>18</v>
      </c>
      <c r="L14" s="134">
        <v>6</v>
      </c>
      <c r="M14" s="133">
        <v>4</v>
      </c>
      <c r="N14" s="129">
        <f t="shared" si="5"/>
        <v>28</v>
      </c>
      <c r="O14" s="130">
        <f t="shared" si="6"/>
        <v>108</v>
      </c>
      <c r="P14" s="131">
        <f t="shared" si="7"/>
        <v>36</v>
      </c>
      <c r="Q14" s="130">
        <f t="shared" si="8"/>
        <v>24</v>
      </c>
      <c r="R14" s="129">
        <f t="shared" si="9"/>
        <v>168</v>
      </c>
      <c r="S14" s="133">
        <v>8</v>
      </c>
      <c r="T14" s="134">
        <v>0</v>
      </c>
      <c r="U14" s="133">
        <v>10</v>
      </c>
      <c r="V14" s="129">
        <f t="shared" si="10"/>
        <v>18</v>
      </c>
      <c r="W14" s="130">
        <f t="shared" si="11"/>
        <v>48</v>
      </c>
      <c r="X14" s="131">
        <f t="shared" si="12"/>
        <v>0</v>
      </c>
      <c r="Y14" s="130">
        <f t="shared" si="13"/>
        <v>60</v>
      </c>
      <c r="Z14" s="129">
        <f t="shared" si="14"/>
        <v>108</v>
      </c>
      <c r="AA14" s="133"/>
      <c r="AB14" s="134"/>
      <c r="AC14" s="133"/>
      <c r="AD14" s="129">
        <f t="shared" si="15"/>
        <v>0</v>
      </c>
      <c r="AE14" s="130">
        <f t="shared" si="16"/>
        <v>0</v>
      </c>
      <c r="AF14" s="131">
        <f t="shared" si="16"/>
        <v>0</v>
      </c>
      <c r="AG14" s="130">
        <f t="shared" si="16"/>
        <v>0</v>
      </c>
      <c r="AH14" s="129">
        <f t="shared" si="17"/>
        <v>0</v>
      </c>
      <c r="AI14" s="132">
        <f t="shared" si="18"/>
        <v>83</v>
      </c>
      <c r="AJ14" s="132">
        <f t="shared" si="19"/>
        <v>498</v>
      </c>
    </row>
    <row r="15" spans="1:36" x14ac:dyDescent="0.35">
      <c r="A15" s="83">
        <v>9</v>
      </c>
      <c r="B15" s="83" t="s">
        <v>1500</v>
      </c>
      <c r="C15" s="133">
        <v>9</v>
      </c>
      <c r="D15" s="134">
        <v>24</v>
      </c>
      <c r="E15" s="133">
        <v>0</v>
      </c>
      <c r="F15" s="129">
        <f t="shared" si="0"/>
        <v>33</v>
      </c>
      <c r="G15" s="130">
        <f t="shared" si="1"/>
        <v>54</v>
      </c>
      <c r="H15" s="131">
        <f t="shared" si="2"/>
        <v>144</v>
      </c>
      <c r="I15" s="130">
        <f t="shared" si="3"/>
        <v>0</v>
      </c>
      <c r="J15" s="129">
        <f t="shared" si="4"/>
        <v>198</v>
      </c>
      <c r="K15" s="133">
        <v>0</v>
      </c>
      <c r="L15" s="134">
        <v>0</v>
      </c>
      <c r="M15" s="133">
        <v>7</v>
      </c>
      <c r="N15" s="129">
        <f t="shared" si="5"/>
        <v>7</v>
      </c>
      <c r="O15" s="130">
        <f t="shared" si="6"/>
        <v>0</v>
      </c>
      <c r="P15" s="131">
        <f t="shared" si="7"/>
        <v>0</v>
      </c>
      <c r="Q15" s="130">
        <f t="shared" si="8"/>
        <v>42</v>
      </c>
      <c r="R15" s="129">
        <f t="shared" si="9"/>
        <v>42</v>
      </c>
      <c r="S15" s="133">
        <v>13</v>
      </c>
      <c r="T15" s="134">
        <v>13</v>
      </c>
      <c r="U15" s="133">
        <v>15</v>
      </c>
      <c r="V15" s="129">
        <f t="shared" si="10"/>
        <v>41</v>
      </c>
      <c r="W15" s="130">
        <f t="shared" si="11"/>
        <v>78</v>
      </c>
      <c r="X15" s="131">
        <f t="shared" si="12"/>
        <v>78</v>
      </c>
      <c r="Y15" s="130">
        <f t="shared" si="13"/>
        <v>90</v>
      </c>
      <c r="Z15" s="129">
        <f t="shared" si="14"/>
        <v>246</v>
      </c>
      <c r="AA15" s="133"/>
      <c r="AB15" s="134"/>
      <c r="AC15" s="133"/>
      <c r="AD15" s="129">
        <f t="shared" si="15"/>
        <v>0</v>
      </c>
      <c r="AE15" s="130">
        <f t="shared" si="16"/>
        <v>0</v>
      </c>
      <c r="AF15" s="131">
        <f t="shared" si="16"/>
        <v>0</v>
      </c>
      <c r="AG15" s="130">
        <f t="shared" si="16"/>
        <v>0</v>
      </c>
      <c r="AH15" s="129">
        <f t="shared" si="17"/>
        <v>0</v>
      </c>
      <c r="AI15" s="132">
        <f t="shared" si="18"/>
        <v>81</v>
      </c>
      <c r="AJ15" s="132">
        <f t="shared" si="19"/>
        <v>486</v>
      </c>
    </row>
    <row r="16" spans="1:36" x14ac:dyDescent="0.35">
      <c r="A16" s="83">
        <v>10</v>
      </c>
      <c r="B16" s="83" t="s">
        <v>1501</v>
      </c>
      <c r="C16" s="133">
        <v>20</v>
      </c>
      <c r="D16" s="134">
        <v>18</v>
      </c>
      <c r="E16" s="133">
        <v>5</v>
      </c>
      <c r="F16" s="129">
        <f t="shared" si="0"/>
        <v>43</v>
      </c>
      <c r="G16" s="130">
        <f t="shared" si="1"/>
        <v>120</v>
      </c>
      <c r="H16" s="131">
        <f t="shared" si="2"/>
        <v>108</v>
      </c>
      <c r="I16" s="130">
        <f t="shared" si="3"/>
        <v>30</v>
      </c>
      <c r="J16" s="129">
        <f t="shared" si="4"/>
        <v>258</v>
      </c>
      <c r="K16" s="133">
        <v>10</v>
      </c>
      <c r="L16" s="134">
        <v>6</v>
      </c>
      <c r="M16" s="133">
        <v>5</v>
      </c>
      <c r="N16" s="129">
        <f t="shared" si="5"/>
        <v>21</v>
      </c>
      <c r="O16" s="130">
        <f t="shared" si="6"/>
        <v>60</v>
      </c>
      <c r="P16" s="131">
        <f t="shared" si="7"/>
        <v>36</v>
      </c>
      <c r="Q16" s="130">
        <f t="shared" si="8"/>
        <v>30</v>
      </c>
      <c r="R16" s="129">
        <f t="shared" si="9"/>
        <v>126</v>
      </c>
      <c r="S16" s="133">
        <v>4</v>
      </c>
      <c r="T16" s="134">
        <v>6</v>
      </c>
      <c r="U16" s="133">
        <v>5</v>
      </c>
      <c r="V16" s="129">
        <f t="shared" si="10"/>
        <v>15</v>
      </c>
      <c r="W16" s="130">
        <f t="shared" si="11"/>
        <v>24</v>
      </c>
      <c r="X16" s="131">
        <f t="shared" si="12"/>
        <v>36</v>
      </c>
      <c r="Y16" s="130">
        <f t="shared" si="13"/>
        <v>30</v>
      </c>
      <c r="Z16" s="129">
        <f t="shared" si="14"/>
        <v>90</v>
      </c>
      <c r="AA16" s="133"/>
      <c r="AB16" s="134"/>
      <c r="AC16" s="133"/>
      <c r="AD16" s="129">
        <f t="shared" si="15"/>
        <v>0</v>
      </c>
      <c r="AE16" s="130">
        <f t="shared" si="16"/>
        <v>0</v>
      </c>
      <c r="AF16" s="131">
        <f t="shared" si="16"/>
        <v>0</v>
      </c>
      <c r="AG16" s="130">
        <f t="shared" si="16"/>
        <v>0</v>
      </c>
      <c r="AH16" s="129">
        <f t="shared" si="17"/>
        <v>0</v>
      </c>
      <c r="AI16" s="132">
        <f t="shared" si="18"/>
        <v>79</v>
      </c>
      <c r="AJ16" s="132">
        <f t="shared" si="19"/>
        <v>474</v>
      </c>
    </row>
    <row r="17" spans="1:36" x14ac:dyDescent="0.35">
      <c r="A17" s="83">
        <v>11</v>
      </c>
      <c r="B17" s="83" t="s">
        <v>1502</v>
      </c>
      <c r="C17" s="133">
        <v>4.5</v>
      </c>
      <c r="D17" s="134">
        <v>0</v>
      </c>
      <c r="E17" s="133">
        <v>0</v>
      </c>
      <c r="F17" s="129">
        <f t="shared" si="0"/>
        <v>4.5</v>
      </c>
      <c r="G17" s="130">
        <f t="shared" si="1"/>
        <v>27</v>
      </c>
      <c r="H17" s="131">
        <f t="shared" si="2"/>
        <v>0</v>
      </c>
      <c r="I17" s="130">
        <f t="shared" si="3"/>
        <v>0</v>
      </c>
      <c r="J17" s="129">
        <f t="shared" si="4"/>
        <v>27</v>
      </c>
      <c r="K17" s="133">
        <v>0</v>
      </c>
      <c r="L17" s="134">
        <v>6.5</v>
      </c>
      <c r="M17" s="133">
        <v>5.75</v>
      </c>
      <c r="N17" s="129">
        <f t="shared" si="5"/>
        <v>12.25</v>
      </c>
      <c r="O17" s="130">
        <f t="shared" si="6"/>
        <v>0</v>
      </c>
      <c r="P17" s="131">
        <f t="shared" si="7"/>
        <v>39</v>
      </c>
      <c r="Q17" s="130">
        <f t="shared" si="8"/>
        <v>34.5</v>
      </c>
      <c r="R17" s="129">
        <f t="shared" si="9"/>
        <v>73.5</v>
      </c>
      <c r="S17" s="133">
        <v>0</v>
      </c>
      <c r="T17" s="134">
        <v>0</v>
      </c>
      <c r="U17" s="133">
        <v>0</v>
      </c>
      <c r="V17" s="129">
        <f t="shared" si="10"/>
        <v>0</v>
      </c>
      <c r="W17" s="130">
        <f t="shared" si="11"/>
        <v>0</v>
      </c>
      <c r="X17" s="131">
        <f t="shared" si="12"/>
        <v>0</v>
      </c>
      <c r="Y17" s="130">
        <f t="shared" si="13"/>
        <v>0</v>
      </c>
      <c r="Z17" s="129">
        <f t="shared" si="14"/>
        <v>0</v>
      </c>
      <c r="AA17" s="133"/>
      <c r="AB17" s="134"/>
      <c r="AC17" s="133"/>
      <c r="AD17" s="129">
        <f t="shared" si="15"/>
        <v>0</v>
      </c>
      <c r="AE17" s="130">
        <f t="shared" si="16"/>
        <v>0</v>
      </c>
      <c r="AF17" s="131">
        <f t="shared" si="16"/>
        <v>0</v>
      </c>
      <c r="AG17" s="130">
        <f t="shared" si="16"/>
        <v>0</v>
      </c>
      <c r="AH17" s="129">
        <f t="shared" si="17"/>
        <v>0</v>
      </c>
      <c r="AI17" s="132">
        <f t="shared" si="18"/>
        <v>16.75</v>
      </c>
      <c r="AJ17" s="132">
        <f t="shared" si="19"/>
        <v>100.5</v>
      </c>
    </row>
    <row r="18" spans="1:36" x14ac:dyDescent="0.35">
      <c r="A18" s="83">
        <v>12</v>
      </c>
      <c r="B18" s="83" t="s">
        <v>1503</v>
      </c>
      <c r="C18" s="133">
        <v>34</v>
      </c>
      <c r="D18" s="134">
        <v>19</v>
      </c>
      <c r="E18" s="133">
        <v>0.14000000000000001</v>
      </c>
      <c r="F18" s="129">
        <f t="shared" si="0"/>
        <v>53.14</v>
      </c>
      <c r="G18" s="130">
        <f t="shared" si="1"/>
        <v>204</v>
      </c>
      <c r="H18" s="131">
        <f t="shared" si="2"/>
        <v>114</v>
      </c>
      <c r="I18" s="130">
        <f t="shared" si="3"/>
        <v>0.84000000000000008</v>
      </c>
      <c r="J18" s="129">
        <f t="shared" si="4"/>
        <v>318.83999999999997</v>
      </c>
      <c r="K18" s="133">
        <v>44.79</v>
      </c>
      <c r="L18" s="134">
        <v>67.040000000000006</v>
      </c>
      <c r="M18" s="133">
        <v>67.400000000000006</v>
      </c>
      <c r="N18" s="129">
        <f t="shared" si="5"/>
        <v>179.23000000000002</v>
      </c>
      <c r="O18" s="130">
        <f t="shared" si="6"/>
        <v>268.74</v>
      </c>
      <c r="P18" s="131">
        <f t="shared" si="7"/>
        <v>402.24</v>
      </c>
      <c r="Q18" s="130">
        <f t="shared" si="8"/>
        <v>404.40000000000003</v>
      </c>
      <c r="R18" s="129">
        <f t="shared" si="9"/>
        <v>1075.3800000000001</v>
      </c>
      <c r="S18" s="133">
        <v>74</v>
      </c>
      <c r="T18" s="134">
        <v>32.5</v>
      </c>
      <c r="U18" s="133">
        <v>33.700000000000003</v>
      </c>
      <c r="V18" s="129">
        <f t="shared" si="10"/>
        <v>140.19999999999999</v>
      </c>
      <c r="W18" s="130">
        <f t="shared" si="11"/>
        <v>444</v>
      </c>
      <c r="X18" s="131">
        <f t="shared" si="12"/>
        <v>195</v>
      </c>
      <c r="Y18" s="130">
        <f t="shared" si="13"/>
        <v>202.20000000000002</v>
      </c>
      <c r="Z18" s="129">
        <f t="shared" si="14"/>
        <v>841.2</v>
      </c>
      <c r="AA18" s="133"/>
      <c r="AB18" s="134"/>
      <c r="AC18" s="133"/>
      <c r="AD18" s="129">
        <f t="shared" si="15"/>
        <v>0</v>
      </c>
      <c r="AE18" s="130">
        <f t="shared" si="16"/>
        <v>0</v>
      </c>
      <c r="AF18" s="131">
        <f t="shared" si="16"/>
        <v>0</v>
      </c>
      <c r="AG18" s="130">
        <f t="shared" si="16"/>
        <v>0</v>
      </c>
      <c r="AH18" s="129">
        <f t="shared" si="17"/>
        <v>0</v>
      </c>
      <c r="AI18" s="132">
        <f t="shared" si="18"/>
        <v>372.57</v>
      </c>
      <c r="AJ18" s="132">
        <f t="shared" si="19"/>
        <v>2235.42</v>
      </c>
    </row>
    <row r="19" spans="1:36" x14ac:dyDescent="0.35">
      <c r="A19" s="83">
        <v>13</v>
      </c>
      <c r="B19" s="83" t="s">
        <v>1504</v>
      </c>
      <c r="C19" s="133">
        <v>66</v>
      </c>
      <c r="D19" s="134">
        <v>45</v>
      </c>
      <c r="E19" s="133">
        <v>5</v>
      </c>
      <c r="F19" s="129">
        <f t="shared" si="0"/>
        <v>116</v>
      </c>
      <c r="G19" s="130">
        <f t="shared" si="1"/>
        <v>396</v>
      </c>
      <c r="H19" s="131">
        <f t="shared" si="2"/>
        <v>270</v>
      </c>
      <c r="I19" s="130">
        <f t="shared" si="3"/>
        <v>30</v>
      </c>
      <c r="J19" s="129">
        <f t="shared" si="4"/>
        <v>696</v>
      </c>
      <c r="K19" s="133">
        <v>9</v>
      </c>
      <c r="L19" s="134">
        <v>115</v>
      </c>
      <c r="M19" s="133">
        <v>10.5</v>
      </c>
      <c r="N19" s="129">
        <f t="shared" si="5"/>
        <v>134.5</v>
      </c>
      <c r="O19" s="130">
        <f t="shared" si="6"/>
        <v>54</v>
      </c>
      <c r="P19" s="131">
        <f t="shared" si="7"/>
        <v>690</v>
      </c>
      <c r="Q19" s="130">
        <f t="shared" si="8"/>
        <v>63</v>
      </c>
      <c r="R19" s="129">
        <f t="shared" si="9"/>
        <v>807</v>
      </c>
      <c r="S19" s="133">
        <v>69.5</v>
      </c>
      <c r="T19" s="134">
        <v>15</v>
      </c>
      <c r="U19" s="133">
        <v>15</v>
      </c>
      <c r="V19" s="129">
        <f t="shared" si="10"/>
        <v>99.5</v>
      </c>
      <c r="W19" s="130">
        <f t="shared" si="11"/>
        <v>417</v>
      </c>
      <c r="X19" s="131">
        <f t="shared" si="12"/>
        <v>90</v>
      </c>
      <c r="Y19" s="130">
        <f t="shared" si="13"/>
        <v>90</v>
      </c>
      <c r="Z19" s="129">
        <f t="shared" si="14"/>
        <v>597</v>
      </c>
      <c r="AA19" s="133"/>
      <c r="AB19" s="134"/>
      <c r="AC19" s="133"/>
      <c r="AD19" s="129">
        <f t="shared" si="15"/>
        <v>0</v>
      </c>
      <c r="AE19" s="130">
        <f t="shared" si="16"/>
        <v>0</v>
      </c>
      <c r="AF19" s="131">
        <f t="shared" si="16"/>
        <v>0</v>
      </c>
      <c r="AG19" s="130">
        <f t="shared" si="16"/>
        <v>0</v>
      </c>
      <c r="AH19" s="129">
        <f t="shared" si="17"/>
        <v>0</v>
      </c>
      <c r="AI19" s="132">
        <f t="shared" si="18"/>
        <v>350</v>
      </c>
      <c r="AJ19" s="132">
        <f t="shared" si="19"/>
        <v>2100</v>
      </c>
    </row>
    <row r="20" spans="1:36" x14ac:dyDescent="0.35">
      <c r="A20" s="83">
        <v>14</v>
      </c>
      <c r="B20" s="83" t="s">
        <v>1505</v>
      </c>
      <c r="C20" s="133">
        <v>104</v>
      </c>
      <c r="D20" s="134">
        <v>113</v>
      </c>
      <c r="E20" s="133">
        <v>10</v>
      </c>
      <c r="F20" s="129">
        <f t="shared" si="0"/>
        <v>227</v>
      </c>
      <c r="G20" s="130">
        <f t="shared" si="1"/>
        <v>624</v>
      </c>
      <c r="H20" s="131">
        <f t="shared" si="2"/>
        <v>678</v>
      </c>
      <c r="I20" s="130">
        <f t="shared" si="3"/>
        <v>60</v>
      </c>
      <c r="J20" s="129">
        <f t="shared" si="4"/>
        <v>1362</v>
      </c>
      <c r="K20" s="133">
        <v>5</v>
      </c>
      <c r="L20" s="134">
        <v>10</v>
      </c>
      <c r="M20" s="133">
        <v>5</v>
      </c>
      <c r="N20" s="129">
        <f t="shared" si="5"/>
        <v>20</v>
      </c>
      <c r="O20" s="130">
        <f t="shared" si="6"/>
        <v>30</v>
      </c>
      <c r="P20" s="131">
        <f t="shared" si="7"/>
        <v>60</v>
      </c>
      <c r="Q20" s="130">
        <f t="shared" si="8"/>
        <v>30</v>
      </c>
      <c r="R20" s="129">
        <f t="shared" si="9"/>
        <v>120</v>
      </c>
      <c r="S20" s="133">
        <v>5</v>
      </c>
      <c r="T20" s="134">
        <v>29</v>
      </c>
      <c r="U20" s="133">
        <v>10</v>
      </c>
      <c r="V20" s="129">
        <f t="shared" si="10"/>
        <v>44</v>
      </c>
      <c r="W20" s="130">
        <f t="shared" si="11"/>
        <v>30</v>
      </c>
      <c r="X20" s="131">
        <f t="shared" si="12"/>
        <v>174</v>
      </c>
      <c r="Y20" s="130">
        <f t="shared" si="13"/>
        <v>60</v>
      </c>
      <c r="Z20" s="129">
        <f t="shared" si="14"/>
        <v>264</v>
      </c>
      <c r="AA20" s="133"/>
      <c r="AB20" s="134"/>
      <c r="AC20" s="133"/>
      <c r="AD20" s="129">
        <f t="shared" si="15"/>
        <v>0</v>
      </c>
      <c r="AE20" s="130">
        <f t="shared" si="16"/>
        <v>0</v>
      </c>
      <c r="AF20" s="131">
        <f t="shared" si="16"/>
        <v>0</v>
      </c>
      <c r="AG20" s="130">
        <f t="shared" si="16"/>
        <v>0</v>
      </c>
      <c r="AH20" s="129">
        <f t="shared" si="17"/>
        <v>0</v>
      </c>
      <c r="AI20" s="132">
        <f t="shared" si="18"/>
        <v>291</v>
      </c>
      <c r="AJ20" s="132">
        <f t="shared" si="19"/>
        <v>1746</v>
      </c>
    </row>
    <row r="21" spans="1:36" x14ac:dyDescent="0.35">
      <c r="A21" s="83">
        <v>15</v>
      </c>
      <c r="B21" s="83" t="s">
        <v>1506</v>
      </c>
      <c r="C21" s="133">
        <v>100</v>
      </c>
      <c r="D21" s="134">
        <v>132</v>
      </c>
      <c r="E21" s="133">
        <v>0</v>
      </c>
      <c r="F21" s="129">
        <f t="shared" si="0"/>
        <v>232</v>
      </c>
      <c r="G21" s="130">
        <f t="shared" si="1"/>
        <v>600</v>
      </c>
      <c r="H21" s="131">
        <f t="shared" si="2"/>
        <v>792</v>
      </c>
      <c r="I21" s="130">
        <f t="shared" si="3"/>
        <v>0</v>
      </c>
      <c r="J21" s="129">
        <f t="shared" si="4"/>
        <v>1392</v>
      </c>
      <c r="K21" s="133">
        <v>0</v>
      </c>
      <c r="L21" s="134">
        <v>4</v>
      </c>
      <c r="M21" s="133">
        <v>0</v>
      </c>
      <c r="N21" s="129">
        <f t="shared" si="5"/>
        <v>4</v>
      </c>
      <c r="O21" s="130">
        <f t="shared" si="6"/>
        <v>0</v>
      </c>
      <c r="P21" s="131">
        <f t="shared" si="7"/>
        <v>24</v>
      </c>
      <c r="Q21" s="130">
        <f t="shared" si="8"/>
        <v>0</v>
      </c>
      <c r="R21" s="129">
        <f t="shared" si="9"/>
        <v>24</v>
      </c>
      <c r="S21" s="133">
        <v>95</v>
      </c>
      <c r="T21" s="134">
        <v>0</v>
      </c>
      <c r="U21" s="133">
        <v>0</v>
      </c>
      <c r="V21" s="129">
        <f t="shared" si="10"/>
        <v>95</v>
      </c>
      <c r="W21" s="130">
        <f t="shared" si="11"/>
        <v>570</v>
      </c>
      <c r="X21" s="131">
        <f t="shared" si="12"/>
        <v>0</v>
      </c>
      <c r="Y21" s="130">
        <f t="shared" si="13"/>
        <v>0</v>
      </c>
      <c r="Z21" s="129">
        <f t="shared" si="14"/>
        <v>570</v>
      </c>
      <c r="AA21" s="133"/>
      <c r="AB21" s="134"/>
      <c r="AC21" s="133"/>
      <c r="AD21" s="129">
        <f t="shared" si="15"/>
        <v>0</v>
      </c>
      <c r="AE21" s="130">
        <f t="shared" si="16"/>
        <v>0</v>
      </c>
      <c r="AF21" s="131">
        <f t="shared" si="16"/>
        <v>0</v>
      </c>
      <c r="AG21" s="130">
        <f t="shared" si="16"/>
        <v>0</v>
      </c>
      <c r="AH21" s="129">
        <f t="shared" si="17"/>
        <v>0</v>
      </c>
      <c r="AI21" s="132">
        <f t="shared" si="18"/>
        <v>331</v>
      </c>
      <c r="AJ21" s="132">
        <f t="shared" si="19"/>
        <v>1986</v>
      </c>
    </row>
    <row r="22" spans="1:36" ht="18.5" x14ac:dyDescent="0.45">
      <c r="A22" s="90" t="s">
        <v>1523</v>
      </c>
      <c r="B22" s="90"/>
      <c r="C22" s="135">
        <f t="shared" ref="C22:AH22" si="20">SUM(C7:C21)</f>
        <v>723.5</v>
      </c>
      <c r="D22" s="136">
        <f t="shared" si="20"/>
        <v>631</v>
      </c>
      <c r="E22" s="135">
        <f t="shared" si="20"/>
        <v>183.14</v>
      </c>
      <c r="F22" s="137">
        <f t="shared" si="20"/>
        <v>1537.6399999999999</v>
      </c>
      <c r="G22" s="135">
        <f t="shared" si="20"/>
        <v>4341</v>
      </c>
      <c r="H22" s="136">
        <f t="shared" si="20"/>
        <v>3786</v>
      </c>
      <c r="I22" s="135">
        <f t="shared" si="20"/>
        <v>1098.8400000000001</v>
      </c>
      <c r="J22" s="137">
        <f t="shared" si="20"/>
        <v>9225.84</v>
      </c>
      <c r="K22" s="135">
        <f t="shared" si="20"/>
        <v>263.78999999999996</v>
      </c>
      <c r="L22" s="136">
        <f t="shared" si="20"/>
        <v>396.54</v>
      </c>
      <c r="M22" s="135">
        <f t="shared" si="20"/>
        <v>226.65</v>
      </c>
      <c r="N22" s="137">
        <f t="shared" si="20"/>
        <v>886.98</v>
      </c>
      <c r="O22" s="135">
        <f t="shared" si="20"/>
        <v>1582.74</v>
      </c>
      <c r="P22" s="136">
        <f t="shared" si="20"/>
        <v>2379.2399999999998</v>
      </c>
      <c r="Q22" s="135">
        <f t="shared" si="20"/>
        <v>1359.9</v>
      </c>
      <c r="R22" s="137">
        <f t="shared" si="20"/>
        <v>5321.88</v>
      </c>
      <c r="S22" s="135">
        <f t="shared" si="20"/>
        <v>336.5</v>
      </c>
      <c r="T22" s="136">
        <f t="shared" si="20"/>
        <v>161.5</v>
      </c>
      <c r="U22" s="135">
        <f t="shared" si="20"/>
        <v>185.7</v>
      </c>
      <c r="V22" s="137">
        <f t="shared" si="20"/>
        <v>683.7</v>
      </c>
      <c r="W22" s="135">
        <f t="shared" si="20"/>
        <v>2019</v>
      </c>
      <c r="X22" s="136">
        <f t="shared" si="20"/>
        <v>969</v>
      </c>
      <c r="Y22" s="135">
        <f t="shared" si="20"/>
        <v>1114.2</v>
      </c>
      <c r="Z22" s="137">
        <f t="shared" si="20"/>
        <v>4102.2</v>
      </c>
      <c r="AA22" s="135">
        <f t="shared" si="20"/>
        <v>0</v>
      </c>
      <c r="AB22" s="136">
        <f t="shared" si="20"/>
        <v>0</v>
      </c>
      <c r="AC22" s="135">
        <f t="shared" si="20"/>
        <v>0</v>
      </c>
      <c r="AD22" s="137">
        <f t="shared" si="20"/>
        <v>0</v>
      </c>
      <c r="AE22" s="135">
        <f t="shared" si="20"/>
        <v>0</v>
      </c>
      <c r="AF22" s="136">
        <f t="shared" si="20"/>
        <v>0</v>
      </c>
      <c r="AG22" s="135">
        <f t="shared" si="20"/>
        <v>0</v>
      </c>
      <c r="AH22" s="137">
        <f t="shared" si="20"/>
        <v>0</v>
      </c>
      <c r="AI22" s="138">
        <f>SUM(AI7:AI21)</f>
        <v>3108.32</v>
      </c>
      <c r="AJ22" s="138">
        <f>SUM(AJ7:AJ21)</f>
        <v>18649.919999999998</v>
      </c>
    </row>
    <row r="23" spans="1:36" ht="15.5" x14ac:dyDescent="0.35">
      <c r="A23" s="139"/>
      <c r="B23" s="140"/>
      <c r="C23" s="140"/>
      <c r="D23" s="140"/>
      <c r="E23" s="140"/>
      <c r="F23" s="140"/>
      <c r="G23" s="140"/>
      <c r="H23" s="140"/>
      <c r="I23" s="140"/>
      <c r="J23" s="140"/>
    </row>
  </sheetData>
  <mergeCells count="20">
    <mergeCell ref="AE5:AH5"/>
    <mergeCell ref="AI5:AI6"/>
    <mergeCell ref="AJ5:AJ6"/>
    <mergeCell ref="A22:B22"/>
    <mergeCell ref="AI4:AJ4"/>
    <mergeCell ref="A5:A6"/>
    <mergeCell ref="B5:B6"/>
    <mergeCell ref="C5:F5"/>
    <mergeCell ref="G5:J5"/>
    <mergeCell ref="K5:N5"/>
    <mergeCell ref="O5:R5"/>
    <mergeCell ref="S5:V5"/>
    <mergeCell ref="W5:Z5"/>
    <mergeCell ref="AA5:AD5"/>
    <mergeCell ref="A1:J1"/>
    <mergeCell ref="A2:J2"/>
    <mergeCell ref="C4:J4"/>
    <mergeCell ref="K4:R4"/>
    <mergeCell ref="S4:Z4"/>
    <mergeCell ref="AA4:A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defaultRowHeight="14.5" x14ac:dyDescent="0.35"/>
  <cols>
    <col min="1" max="1" width="112" customWidth="1"/>
  </cols>
  <sheetData>
    <row r="1" spans="1:1" ht="38" customHeight="1" x14ac:dyDescent="0.35">
      <c r="A1" s="1" t="s">
        <v>37</v>
      </c>
    </row>
    <row r="2" spans="1:1" x14ac:dyDescent="0.35">
      <c r="A2" t="s">
        <v>38</v>
      </c>
    </row>
    <row r="3" spans="1:1" x14ac:dyDescent="0.35">
      <c r="A3" t="s">
        <v>39</v>
      </c>
    </row>
    <row r="4" spans="1:1" x14ac:dyDescent="0.35">
      <c r="A4" t="s">
        <v>40</v>
      </c>
    </row>
    <row r="5" spans="1:1" x14ac:dyDescent="0.35">
      <c r="A5" t="s">
        <v>41</v>
      </c>
    </row>
    <row r="6" spans="1:1" x14ac:dyDescent="0.35">
      <c r="A6" t="s">
        <v>42</v>
      </c>
    </row>
    <row r="7" spans="1:1" x14ac:dyDescent="0.35">
      <c r="A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Data Penerima</vt:lpstr>
      <vt:lpstr>Rekap Kecamatan</vt:lpstr>
      <vt:lpstr>Rekap Sumber Dana</vt:lpstr>
      <vt:lpstr>Tanam dan Panen</vt:lpstr>
      <vt:lpstr>Panen dan Produksi</vt:lpstr>
      <vt:lpstr>Petunjuk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Zyrex</dc:creator>
  <cp:lastModifiedBy>Wanda Andika Hasibuan</cp:lastModifiedBy>
  <dcterms:created xsi:type="dcterms:W3CDTF">2026-10-20T17:43:12Z</dcterms:created>
  <dcterms:modified xsi:type="dcterms:W3CDTF">2026-10-20T17:47:19Z</dcterms:modified>
</cp:coreProperties>
</file>